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tables/table4.xml" ContentType="application/vnd.openxmlformats-officedocument.spreadsheetml.table+xml"/>
  <Override PartName="/xl/comments5.xml" ContentType="application/vnd.openxmlformats-officedocument.spreadsheetml.comments+xml"/>
  <Override PartName="/xl/tables/table5.xml" ContentType="application/vnd.openxmlformats-officedocument.spreadsheetml.table+xml"/>
  <Override PartName="/xl/comments6.xml" ContentType="application/vnd.openxmlformats-officedocument.spreadsheetml.comments+xml"/>
  <Override PartName="/xl/tables/table6.xml" ContentType="application/vnd.openxmlformats-officedocument.spreadsheetml.table+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Users\ssarker03395\Desktop\2026 Chandpur\"/>
    </mc:Choice>
  </mc:AlternateContent>
  <xr:revisionPtr revIDLastSave="0" documentId="13_ncr:1_{2DEFEBD6-CE5A-424E-BFD6-8B1B773543FD}" xr6:coauthVersionLast="36" xr6:coauthVersionMax="36" xr10:uidLastSave="{00000000-0000-0000-0000-000000000000}"/>
  <bookViews>
    <workbookView xWindow="0" yWindow="0" windowWidth="20490" windowHeight="7335" activeTab="2" xr2:uid="{00000000-000D-0000-FFFF-FFFF00000000}"/>
  </bookViews>
  <sheets>
    <sheet name="Scrap_Sale" sheetId="5" r:id="rId1"/>
    <sheet name="G1_Fuel" sheetId="30" r:id="rId2"/>
    <sheet name="G2_Fuel" sheetId="34" r:id="rId3"/>
    <sheet name="G_note" sheetId="35" r:id="rId4"/>
    <sheet name="Vehicles" sheetId="6" r:id="rId5"/>
    <sheet name="Carton" sheetId="2" r:id="rId6"/>
    <sheet name="Note_Car_P_Rope" sheetId="36" r:id="rId7"/>
    <sheet name="P_Rope" sheetId="32" r:id="rId8"/>
    <sheet name="D Exp,Replace" sheetId="7" r:id="rId9"/>
  </sheets>
  <definedNames>
    <definedName name="_xlnm.Print_Area" localSheetId="5">Carton!$A$1:$J$22</definedName>
    <definedName name="_xlnm.Print_Area" localSheetId="1">G1_Fuel!$A$1:$H$23</definedName>
    <definedName name="_xlnm.Print_Area" localSheetId="2">G2_Fuel!$A$1:$H$23</definedName>
    <definedName name="_xlnm.Print_Area" localSheetId="7">P_Rope!$A$1:$J$22</definedName>
    <definedName name="_xlnm.Print_Area" localSheetId="0">Scrap_Sale!$A$1:$G$21</definedName>
    <definedName name="_xlnm.Print_Area" localSheetId="4">Vehicles!$A$1:$F$23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3" i="36" l="1"/>
  <c r="A2" i="36"/>
  <c r="A5" i="35"/>
  <c r="A6" i="35"/>
  <c r="A3" i="35"/>
  <c r="A2" i="35"/>
  <c r="A1" i="35"/>
  <c r="B23" i="34"/>
  <c r="A23" i="34"/>
  <c r="E20" i="34"/>
  <c r="C20" i="34"/>
  <c r="B20" i="34"/>
  <c r="B22" i="34" s="1"/>
  <c r="D19" i="34"/>
  <c r="G19" i="34" s="1"/>
  <c r="A19" i="34"/>
  <c r="D18" i="34"/>
  <c r="F18" i="34" s="1"/>
  <c r="A18" i="34"/>
  <c r="D17" i="34"/>
  <c r="G17" i="34" s="1"/>
  <c r="A17" i="34"/>
  <c r="D16" i="34"/>
  <c r="F16" i="34" s="1"/>
  <c r="A16" i="34"/>
  <c r="D15" i="34"/>
  <c r="G15" i="34" s="1"/>
  <c r="A15" i="34"/>
  <c r="D14" i="34"/>
  <c r="F14" i="34" s="1"/>
  <c r="A14" i="34"/>
  <c r="D13" i="34"/>
  <c r="G13" i="34" s="1"/>
  <c r="A13" i="34"/>
  <c r="D12" i="34"/>
  <c r="G12" i="34" s="1"/>
  <c r="A12" i="34"/>
  <c r="D11" i="34"/>
  <c r="G11" i="34" s="1"/>
  <c r="A11" i="34"/>
  <c r="D10" i="34"/>
  <c r="F10" i="34" s="1"/>
  <c r="A10" i="34"/>
  <c r="D9" i="34"/>
  <c r="G9" i="34" s="1"/>
  <c r="A9" i="34"/>
  <c r="G8" i="34"/>
  <c r="F8" i="34"/>
  <c r="A8" i="34"/>
  <c r="A1" i="34"/>
  <c r="B23" i="30"/>
  <c r="A21" i="32"/>
  <c r="H19" i="32"/>
  <c r="F19" i="32"/>
  <c r="E19" i="32"/>
  <c r="D19" i="32"/>
  <c r="C19" i="32"/>
  <c r="B19" i="32"/>
  <c r="B20" i="32" s="1"/>
  <c r="I18" i="32"/>
  <c r="J18" i="32" s="1"/>
  <c r="C18" i="32"/>
  <c r="A18" i="32"/>
  <c r="J17" i="32"/>
  <c r="I17" i="32"/>
  <c r="C17" i="32"/>
  <c r="A17" i="32"/>
  <c r="I16" i="32"/>
  <c r="J16" i="32" s="1"/>
  <c r="C16" i="32"/>
  <c r="A16" i="32"/>
  <c r="J15" i="32"/>
  <c r="I15" i="32"/>
  <c r="C15" i="32"/>
  <c r="A15" i="32"/>
  <c r="I14" i="32"/>
  <c r="J14" i="32" s="1"/>
  <c r="C14" i="32"/>
  <c r="A14" i="32"/>
  <c r="J13" i="32"/>
  <c r="I13" i="32"/>
  <c r="C13" i="32"/>
  <c r="A13" i="32"/>
  <c r="I12" i="32"/>
  <c r="J12" i="32" s="1"/>
  <c r="C12" i="32"/>
  <c r="A12" i="32"/>
  <c r="J11" i="32"/>
  <c r="I11" i="32"/>
  <c r="C11" i="32"/>
  <c r="A11" i="32"/>
  <c r="I10" i="32"/>
  <c r="J10" i="32" s="1"/>
  <c r="C10" i="32"/>
  <c r="A10" i="32"/>
  <c r="J9" i="32"/>
  <c r="I9" i="32"/>
  <c r="C9" i="32"/>
  <c r="A9" i="32"/>
  <c r="I8" i="32"/>
  <c r="I19" i="32" s="1"/>
  <c r="J19" i="32" s="1"/>
  <c r="B21" i="32" s="1"/>
  <c r="A22" i="32" s="1"/>
  <c r="C8" i="32"/>
  <c r="A8" i="32"/>
  <c r="I7" i="32"/>
  <c r="J7" i="32" s="1"/>
  <c r="C7" i="32"/>
  <c r="A7" i="32"/>
  <c r="A1" i="32"/>
  <c r="G20" i="34" l="1"/>
  <c r="F12" i="34"/>
  <c r="D20" i="34"/>
  <c r="G10" i="34"/>
  <c r="G14" i="34"/>
  <c r="G16" i="34"/>
  <c r="G18" i="34"/>
  <c r="F20" i="34"/>
  <c r="H20" i="34" s="1"/>
  <c r="F9" i="34"/>
  <c r="F11" i="34"/>
  <c r="F13" i="34"/>
  <c r="F15" i="34"/>
  <c r="F17" i="34"/>
  <c r="F19" i="34"/>
  <c r="J8" i="32"/>
  <c r="A23" i="30"/>
  <c r="E20" i="30"/>
  <c r="C20" i="30"/>
  <c r="B20" i="30"/>
  <c r="F19" i="30"/>
  <c r="D19" i="30"/>
  <c r="G19" i="30" s="1"/>
  <c r="A19" i="30"/>
  <c r="D18" i="30"/>
  <c r="G18" i="30" s="1"/>
  <c r="A18" i="30"/>
  <c r="D17" i="30"/>
  <c r="G17" i="30" s="1"/>
  <c r="A17" i="30"/>
  <c r="D16" i="30"/>
  <c r="G16" i="30" s="1"/>
  <c r="A16" i="30"/>
  <c r="D15" i="30"/>
  <c r="G15" i="30" s="1"/>
  <c r="A15" i="30"/>
  <c r="D14" i="30"/>
  <c r="G14" i="30" s="1"/>
  <c r="A14" i="30"/>
  <c r="D13" i="30"/>
  <c r="F13" i="30" s="1"/>
  <c r="A13" i="30"/>
  <c r="D12" i="30"/>
  <c r="G12" i="30" s="1"/>
  <c r="A12" i="30"/>
  <c r="D11" i="30"/>
  <c r="G11" i="30" s="1"/>
  <c r="A11" i="30"/>
  <c r="D10" i="30"/>
  <c r="G10" i="30" s="1"/>
  <c r="A10" i="30"/>
  <c r="D9" i="30"/>
  <c r="F9" i="30" s="1"/>
  <c r="A9" i="30"/>
  <c r="G8" i="30"/>
  <c r="A8" i="30"/>
  <c r="A1" i="30"/>
  <c r="G9" i="30" l="1"/>
  <c r="F17" i="30"/>
  <c r="F15" i="30"/>
  <c r="B22" i="30"/>
  <c r="G13" i="30"/>
  <c r="F11" i="30"/>
  <c r="F8" i="30"/>
  <c r="F10" i="30"/>
  <c r="F12" i="30"/>
  <c r="F14" i="30"/>
  <c r="F16" i="30"/>
  <c r="F18" i="30"/>
  <c r="D20" i="30"/>
  <c r="G20" i="30" s="1"/>
  <c r="F20" i="30" l="1"/>
  <c r="H20" i="30" l="1"/>
  <c r="A6" i="6"/>
  <c r="A7" i="6"/>
  <c r="A8" i="6"/>
  <c r="A9" i="6"/>
  <c r="A10" i="6"/>
  <c r="A11" i="6"/>
  <c r="A12" i="6"/>
  <c r="A13" i="6"/>
  <c r="A14" i="6"/>
  <c r="A15" i="6"/>
  <c r="I8" i="2" l="1"/>
  <c r="I9" i="2"/>
  <c r="I10" i="2"/>
  <c r="I11" i="2"/>
  <c r="I12" i="2"/>
  <c r="I13" i="2"/>
  <c r="I14" i="2"/>
  <c r="I15" i="2"/>
  <c r="I16" i="2"/>
  <c r="I17" i="2"/>
  <c r="I18" i="2"/>
  <c r="A7" i="7"/>
  <c r="A8" i="7"/>
  <c r="A9" i="7"/>
  <c r="A10" i="7"/>
  <c r="A11" i="7"/>
  <c r="A12" i="7"/>
  <c r="A13" i="7"/>
  <c r="A14" i="7"/>
  <c r="A15" i="7"/>
  <c r="A16" i="7"/>
  <c r="A17" i="7"/>
  <c r="A6" i="7"/>
  <c r="A8" i="2"/>
  <c r="A9" i="2"/>
  <c r="A10" i="2"/>
  <c r="A11" i="2"/>
  <c r="A12" i="2"/>
  <c r="A13" i="2"/>
  <c r="A14" i="2"/>
  <c r="A15" i="2"/>
  <c r="A16" i="2"/>
  <c r="A17" i="2"/>
  <c r="A18" i="2"/>
  <c r="A7" i="2"/>
  <c r="A3" i="5"/>
  <c r="A3" i="34" l="1"/>
  <c r="A3" i="32"/>
  <c r="A3" i="30"/>
  <c r="A23" i="6"/>
  <c r="A18" i="5"/>
  <c r="C7" i="2" l="1"/>
  <c r="C8" i="2"/>
  <c r="C9" i="2"/>
  <c r="C10" i="2"/>
  <c r="C11" i="2"/>
  <c r="C12" i="2"/>
  <c r="C13" i="2"/>
  <c r="C14" i="2"/>
  <c r="C15" i="2"/>
  <c r="C16" i="2"/>
  <c r="C17" i="2"/>
  <c r="C18" i="2"/>
  <c r="C5" i="5"/>
  <c r="F5" i="5" l="1"/>
  <c r="F6" i="5"/>
  <c r="F7" i="5"/>
  <c r="F8" i="5"/>
  <c r="F9" i="5"/>
  <c r="F10" i="5"/>
  <c r="F11" i="5"/>
  <c r="F12" i="5"/>
  <c r="F13" i="5"/>
  <c r="F14" i="5"/>
  <c r="F15" i="5"/>
  <c r="F16" i="5"/>
  <c r="C6" i="5"/>
  <c r="C7" i="5"/>
  <c r="C8" i="5"/>
  <c r="C9" i="5"/>
  <c r="C10" i="5"/>
  <c r="C11" i="5"/>
  <c r="C12" i="5"/>
  <c r="C13" i="5"/>
  <c r="C14" i="5"/>
  <c r="C15" i="5"/>
  <c r="C16" i="5"/>
  <c r="D7" i="7" l="1"/>
  <c r="D8" i="7"/>
  <c r="D9" i="7"/>
  <c r="D10" i="7"/>
  <c r="D11" i="7"/>
  <c r="D12" i="7"/>
  <c r="D13" i="7"/>
  <c r="D14" i="7"/>
  <c r="D15" i="7"/>
  <c r="D16" i="7"/>
  <c r="D17" i="7"/>
  <c r="D6" i="7"/>
  <c r="A19" i="7" l="1"/>
  <c r="I7" i="2"/>
  <c r="A21" i="2"/>
  <c r="A3" i="7" l="1"/>
  <c r="A3" i="2"/>
  <c r="A1" i="7" l="1"/>
  <c r="A1" i="2"/>
  <c r="A1" i="6"/>
  <c r="C18" i="7"/>
  <c r="B18" i="7"/>
  <c r="D17" i="5"/>
  <c r="E17" i="5"/>
  <c r="B17" i="5"/>
  <c r="B19" i="5" s="1"/>
  <c r="D19" i="2"/>
  <c r="E19" i="2"/>
  <c r="F19" i="2"/>
  <c r="H19" i="2"/>
  <c r="B19" i="2"/>
  <c r="B20" i="2" s="1"/>
  <c r="J7" i="2"/>
  <c r="J8" i="2"/>
  <c r="J9" i="2"/>
  <c r="J10" i="2"/>
  <c r="J11" i="2"/>
  <c r="J12" i="2"/>
  <c r="J13" i="2"/>
  <c r="J14" i="2"/>
  <c r="J15" i="2"/>
  <c r="J16" i="2"/>
  <c r="J17" i="2"/>
  <c r="J18" i="2"/>
  <c r="C17" i="5" l="1"/>
  <c r="C19" i="2"/>
  <c r="D18" i="7"/>
  <c r="F17" i="5"/>
  <c r="I19" i="2"/>
  <c r="J19" i="2" s="1"/>
  <c r="B21" i="2" s="1"/>
  <c r="A2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Sajib Sarker</author>
  </authors>
  <commentList>
    <comment ref="E4" authorId="0" shapeId="0" xr:uid="{E632AD14-18F7-4A14-A510-F848D44E4C55}">
      <text>
        <r>
          <rPr>
            <b/>
            <sz val="9"/>
            <color indexed="81"/>
            <rFont val="Tahoma"/>
            <family val="2"/>
          </rPr>
          <t>Sajib Sarker:</t>
        </r>
        <r>
          <rPr>
            <sz val="9"/>
            <color indexed="81"/>
            <rFont val="Tahoma"/>
            <family val="2"/>
          </rPr>
          <t xml:space="preserve">
Please, Fill in the rows of Highlighted columns.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Sajib Sarker</author>
  </authors>
  <commentList>
    <comment ref="B4" authorId="0" shapeId="0" xr:uid="{9850113D-33F9-4EE5-986F-31000B13DD4A}">
      <text>
        <r>
          <rPr>
            <b/>
            <sz val="9"/>
            <color indexed="81"/>
            <rFont val="Tahoma"/>
            <family val="2"/>
          </rPr>
          <t>Change Generator name.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Sajib Sarker</author>
  </authors>
  <commentList>
    <comment ref="B4" authorId="0" shapeId="0" xr:uid="{B4494642-DA31-4722-991E-0E3C89D78093}">
      <text>
        <r>
          <rPr>
            <b/>
            <sz val="9"/>
            <color indexed="81"/>
            <rFont val="Tahoma"/>
            <family val="2"/>
          </rPr>
          <t>Change Generator name.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Sajib Sarker</author>
  </authors>
  <commentList>
    <comment ref="F5" authorId="0" shapeId="0" xr:uid="{AF03FDC5-BC56-409A-85CF-24CF2AE6C087}">
      <text>
        <r>
          <rPr>
            <b/>
            <sz val="9"/>
            <color indexed="81"/>
            <rFont val="Tahoma"/>
            <family val="2"/>
          </rPr>
          <t>Sajib Sarker:</t>
        </r>
        <r>
          <rPr>
            <sz val="9"/>
            <color indexed="81"/>
            <rFont val="Tahoma"/>
            <family val="2"/>
          </rPr>
          <t xml:space="preserve">
Please, Fill in the rows of highlighted columns.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Sajib Sarker</author>
  </authors>
  <commentList>
    <comment ref="H6" authorId="0" shapeId="0" xr:uid="{99E5B871-FEBB-4706-A9CA-38A96D3A618E}">
      <text>
        <r>
          <rPr>
            <b/>
            <sz val="9"/>
            <color indexed="81"/>
            <rFont val="Tahoma"/>
            <family val="2"/>
          </rPr>
          <t>Sajib Sarker:</t>
        </r>
        <r>
          <rPr>
            <sz val="9"/>
            <color indexed="81"/>
            <rFont val="Tahoma"/>
            <family val="2"/>
          </rPr>
          <t xml:space="preserve">
Please, Fill in the rows of Highlighted columns.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Sajib Sarker</author>
  </authors>
  <commentList>
    <comment ref="H6" authorId="0" shapeId="0" xr:uid="{D92C62F4-308F-45C4-992B-A20AA6DA5775}">
      <text>
        <r>
          <rPr>
            <b/>
            <sz val="9"/>
            <color indexed="81"/>
            <rFont val="Tahoma"/>
            <family val="2"/>
          </rPr>
          <t>Sajib Sarker:</t>
        </r>
        <r>
          <rPr>
            <sz val="9"/>
            <color indexed="81"/>
            <rFont val="Tahoma"/>
            <family val="2"/>
          </rPr>
          <t xml:space="preserve">
Please, Fill in the rows of Highlighted columns.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Sajib Sarker</author>
  </authors>
  <commentList>
    <comment ref="D5" authorId="0" shapeId="0" xr:uid="{145C4A80-EDF3-43D1-87F1-E1A4BD89D47A}">
      <text>
        <r>
          <rPr>
            <b/>
            <sz val="9"/>
            <color indexed="81"/>
            <rFont val="Tahoma"/>
            <family val="2"/>
          </rPr>
          <t>Sajib Sarker:</t>
        </r>
        <r>
          <rPr>
            <sz val="9"/>
            <color indexed="81"/>
            <rFont val="Tahoma"/>
            <family val="2"/>
          </rPr>
          <t xml:space="preserve">
Please, Fill in the rows of Highlighted columns.</t>
        </r>
      </text>
    </comment>
  </commentList>
</comments>
</file>

<file path=xl/sharedStrings.xml><?xml version="1.0" encoding="utf-8"?>
<sst xmlns="http://schemas.openxmlformats.org/spreadsheetml/2006/main" count="100" uniqueCount="60">
  <si>
    <t xml:space="preserve">Consumption </t>
  </si>
  <si>
    <t>Month</t>
  </si>
  <si>
    <t>Rate</t>
  </si>
  <si>
    <t>per invoice Tk.</t>
  </si>
  <si>
    <t>Total Invoice</t>
  </si>
  <si>
    <t>Total Taka</t>
  </si>
  <si>
    <t>Total</t>
  </si>
  <si>
    <t>Carton Cost</t>
  </si>
  <si>
    <t>Statement of Carton consumption against Invoice</t>
  </si>
  <si>
    <t>Generator :</t>
  </si>
  <si>
    <t>Fuel Consup. Per Hour (Liter)</t>
  </si>
  <si>
    <t>Fuel Consup. Per Hour (Taka)</t>
  </si>
  <si>
    <t>Comments</t>
  </si>
  <si>
    <t>Average will be Std.</t>
  </si>
  <si>
    <t>Fuel  Liter</t>
  </si>
  <si>
    <t>Fuel Taka</t>
  </si>
  <si>
    <t>Scrap Sales</t>
  </si>
  <si>
    <t>Vehicles Details</t>
  </si>
  <si>
    <t>SL No.</t>
  </si>
  <si>
    <t>ID</t>
  </si>
  <si>
    <t xml:space="preserve">Driver Name </t>
  </si>
  <si>
    <t>Registrtation No.</t>
  </si>
  <si>
    <t>Milage Meter</t>
  </si>
  <si>
    <t>Date Expired VS Replace Bill</t>
  </si>
  <si>
    <t>Months</t>
  </si>
  <si>
    <t>Date Expired 
Taka</t>
  </si>
  <si>
    <t>Replace bill 
Taka</t>
  </si>
  <si>
    <t>Difference 
Taka</t>
  </si>
  <si>
    <t>Carton
KG</t>
  </si>
  <si>
    <t>Carton
Taka</t>
  </si>
  <si>
    <t xml:space="preserve"> Others Sales
Taka</t>
  </si>
  <si>
    <t>Min Rate:</t>
  </si>
  <si>
    <t>Max Rate:</t>
  </si>
  <si>
    <t>Avg.
Rate</t>
  </si>
  <si>
    <t>PCS</t>
  </si>
  <si>
    <t>Avg. Qty.</t>
  </si>
  <si>
    <t>Plastic Rope Cost</t>
  </si>
  <si>
    <t>XXXXXXXX  Depot</t>
  </si>
  <si>
    <t>As on XXXXXX</t>
  </si>
  <si>
    <t>FG (Vet)</t>
  </si>
  <si>
    <t>Sample (HU)</t>
  </si>
  <si>
    <t>Sample (vet)</t>
  </si>
  <si>
    <t>09UUH</t>
  </si>
  <si>
    <t>88899</t>
  </si>
  <si>
    <r>
      <t>Total Run time 
(</t>
    </r>
    <r>
      <rPr>
        <sz val="11"/>
        <color rgb="FFFF0000"/>
        <rFont val="Arial"/>
        <family val="2"/>
      </rPr>
      <t>if Minute</t>
    </r>
    <r>
      <rPr>
        <sz val="11"/>
        <color theme="1"/>
        <rFont val="Arial"/>
        <family val="2"/>
      </rPr>
      <t>)</t>
    </r>
  </si>
  <si>
    <r>
      <t>Total Run time 
(</t>
    </r>
    <r>
      <rPr>
        <sz val="11"/>
        <color rgb="FFFF0000"/>
        <rFont val="Arial"/>
        <family val="2"/>
      </rPr>
      <t>if Hour:Minute</t>
    </r>
    <r>
      <rPr>
        <sz val="11"/>
        <color theme="1"/>
        <rFont val="Arial"/>
        <family val="2"/>
      </rPr>
      <t>)</t>
    </r>
  </si>
  <si>
    <t>Generator Fuel Consumption</t>
  </si>
  <si>
    <t>Avg. Liter pm</t>
  </si>
  <si>
    <t>No. of Invoice FG</t>
  </si>
  <si>
    <t>Statement of Plastic Rope consumption against Invoice</t>
  </si>
  <si>
    <t>FG (Human)</t>
  </si>
  <si>
    <t>Last year</t>
  </si>
  <si>
    <t>Fuel Type :</t>
  </si>
  <si>
    <t>5 KVA Dolgfong Cumming, Model-</t>
  </si>
  <si>
    <t>Diesel</t>
  </si>
  <si>
    <t>Petrol</t>
  </si>
  <si>
    <t>Origin :</t>
  </si>
  <si>
    <t>75 KVA Dolgfong Cumming, Model-</t>
  </si>
  <si>
    <t>Record is maintained for repair &amp; maintenance of Generator in the register.</t>
  </si>
  <si>
    <t>Plastic Rope  has been purchased through DSC (South) depot @ Tk.79.00 per kg with duly approved by distribution department.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</si>
</sst>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_(* \(#,##0\);_(* &quot;-&quot;??_);_(@_)"/>
    <numFmt numFmtId="165" formatCode="_-* #,##0_-;\-* #,##0_-;_-* &quot;-&quot;??_-;_-@_-"/>
    <numFmt numFmtId="166" formatCode="_(* #,##0.000_);_(* \(#,##0.000\);_(* &quot;-&quot;???_);_(@_)"/>
    <numFmt numFmtId="167" formatCode="[h]:mm:ss;@"/>
  </numFmts>
  <fonts count="25" x14ac:knownFonts="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1"/>
      <color theme="1"/>
      <name val="Arial"/>
      <family val="2"/>
    </font>
    <font>
      <b/>
      <sz val="11"/>
      <color theme="1"/>
      <name val="Arial"/>
      <family val="2"/>
    </font>
    <font>
      <sz val="11"/>
      <name val="Arial"/>
      <family val="2"/>
    </font>
    <font>
      <b/>
      <sz val="11"/>
      <name val="Arial"/>
      <family val="2"/>
    </font>
    <font>
      <sz val="11"/>
      <color rgb="FF000000"/>
      <name val="Arial"/>
      <family val="2"/>
    </font>
    <font>
      <sz val="11"/>
      <color theme="0"/>
      <name val="Arial"/>
      <family val="2"/>
    </font>
    <font>
      <sz val="7"/>
      <color theme="1"/>
      <name val="Calibri"/>
      <family val="2"/>
      <scheme val="minor"/>
    </font>
    <font>
      <b/>
      <sz val="12"/>
      <color theme="1"/>
      <name val="Arial"/>
      <family val="2"/>
    </font>
    <font>
      <b/>
      <sz val="12"/>
      <name val="Arial"/>
      <family val="2"/>
    </font>
    <font>
      <sz val="8"/>
      <color theme="1"/>
      <name val="Calibri"/>
      <family val="2"/>
      <scheme val="minor"/>
    </font>
    <font>
      <sz val="8"/>
      <color theme="1"/>
      <name val="Arial"/>
      <family val="2"/>
    </font>
    <font>
      <sz val="9"/>
      <color indexed="81"/>
      <name val="Tahoma"/>
      <family val="2"/>
    </font>
    <font>
      <b/>
      <sz val="9"/>
      <color indexed="81"/>
      <name val="Tahoma"/>
      <family val="2"/>
    </font>
    <font>
      <sz val="11"/>
      <color rgb="FFFF0000"/>
      <name val="Arial"/>
      <family val="2"/>
    </font>
    <font>
      <b/>
      <sz val="10"/>
      <color theme="1"/>
      <name val="Arial"/>
      <family val="2"/>
    </font>
    <font>
      <sz val="9"/>
      <color theme="1"/>
      <name val="Arial"/>
      <family val="2"/>
    </font>
    <font>
      <sz val="10"/>
      <color theme="0"/>
      <name val="Arial"/>
      <family val="2"/>
    </font>
    <font>
      <sz val="11"/>
      <color theme="0" tint="-0.249977111117893"/>
      <name val="Arial"/>
      <family val="2"/>
    </font>
    <font>
      <sz val="10"/>
      <color theme="0" tint="-0.249977111117893"/>
      <name val="Arial"/>
      <family val="2"/>
    </font>
    <font>
      <sz val="10"/>
      <color theme="0" tint="-0.34998626667073579"/>
      <name val="Arial"/>
      <family val="2"/>
    </font>
    <font>
      <sz val="10"/>
      <name val="Arial"/>
      <family val="2"/>
    </font>
  </fonts>
  <fills count="5">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theme="6" tint="0.79998168889431442"/>
        <bgColor indexed="64"/>
      </patternFill>
    </fill>
  </fills>
  <borders count="1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3" fillId="0" borderId="0" applyFont="0" applyFill="0" applyBorder="0" applyAlignment="0" applyProtection="0"/>
  </cellStyleXfs>
  <cellXfs count="119">
    <xf numFmtId="0" fontId="0" fillId="0" borderId="0" xfId="0"/>
    <xf numFmtId="0" fontId="4" fillId="0" borderId="0" xfId="0" applyFont="1" applyAlignment="1" applyProtection="1">
      <alignment horizontal="right" vertical="center"/>
      <protection hidden="1"/>
    </xf>
    <xf numFmtId="0" fontId="4" fillId="0" borderId="0" xfId="0" applyFont="1" applyAlignment="1" applyProtection="1">
      <alignment horizontal="center" vertical="center"/>
      <protection hidden="1"/>
    </xf>
    <xf numFmtId="0" fontId="4" fillId="0" borderId="0" xfId="0" applyFont="1" applyAlignment="1" applyProtection="1">
      <alignment vertical="center"/>
      <protection hidden="1"/>
    </xf>
    <xf numFmtId="0" fontId="4" fillId="0" borderId="0" xfId="0" applyFont="1" applyFill="1" applyAlignment="1" applyProtection="1">
      <alignment vertical="center"/>
      <protection hidden="1"/>
    </xf>
    <xf numFmtId="0" fontId="10" fillId="0" borderId="0" xfId="0" applyFont="1" applyAlignment="1" applyProtection="1">
      <alignment vertical="center"/>
      <protection hidden="1"/>
    </xf>
    <xf numFmtId="0" fontId="0" fillId="0" borderId="0" xfId="0" applyProtection="1">
      <protection hidden="1"/>
    </xf>
    <xf numFmtId="0" fontId="0" fillId="0" borderId="0" xfId="0" applyFill="1" applyProtection="1">
      <protection hidden="1"/>
    </xf>
    <xf numFmtId="0" fontId="6" fillId="0" borderId="0" xfId="0" applyFont="1" applyAlignment="1" applyProtection="1">
      <alignment vertical="center"/>
      <protection hidden="1"/>
    </xf>
    <xf numFmtId="0" fontId="10" fillId="0" borderId="0" xfId="0" applyFont="1" applyFill="1" applyAlignment="1" applyProtection="1">
      <alignment vertical="center"/>
      <protection hidden="1"/>
    </xf>
    <xf numFmtId="0" fontId="0" fillId="0" borderId="0" xfId="0" applyProtection="1"/>
    <xf numFmtId="0" fontId="4" fillId="0" borderId="0" xfId="0" applyFont="1" applyAlignment="1" applyProtection="1">
      <alignment horizontal="left" vertical="center"/>
      <protection locked="0"/>
    </xf>
    <xf numFmtId="0" fontId="6" fillId="0" borderId="0" xfId="0" applyFont="1" applyProtection="1"/>
    <xf numFmtId="0" fontId="0" fillId="0" borderId="0" xfId="0" applyAlignment="1" applyProtection="1">
      <alignment horizontal="center"/>
    </xf>
    <xf numFmtId="0" fontId="4" fillId="0" borderId="0" xfId="0" applyFont="1" applyFill="1" applyAlignment="1" applyProtection="1">
      <alignment vertical="center"/>
    </xf>
    <xf numFmtId="0" fontId="5" fillId="0" borderId="0" xfId="0" applyFont="1" applyFill="1" applyAlignment="1" applyProtection="1">
      <alignment vertical="center"/>
    </xf>
    <xf numFmtId="0" fontId="4" fillId="0" borderId="0" xfId="0" applyFont="1" applyFill="1" applyAlignment="1" applyProtection="1">
      <alignment horizontal="center" vertical="center"/>
    </xf>
    <xf numFmtId="0" fontId="13" fillId="0" borderId="0" xfId="0" applyFont="1" applyProtection="1">
      <protection hidden="1"/>
    </xf>
    <xf numFmtId="0" fontId="14" fillId="0" borderId="0" xfId="0" applyFont="1" applyFill="1" applyAlignment="1" applyProtection="1">
      <alignment vertical="center"/>
      <protection hidden="1"/>
    </xf>
    <xf numFmtId="0" fontId="4" fillId="0" borderId="0" xfId="0" applyFont="1" applyProtection="1">
      <protection hidden="1"/>
    </xf>
    <xf numFmtId="0" fontId="4" fillId="0" borderId="0" xfId="0" applyFont="1" applyAlignment="1" applyProtection="1">
      <alignment horizontal="center"/>
      <protection hidden="1"/>
    </xf>
    <xf numFmtId="0" fontId="14" fillId="0" borderId="0" xfId="0" applyFont="1" applyProtection="1">
      <protection hidden="1"/>
    </xf>
    <xf numFmtId="0" fontId="2" fillId="0" borderId="0" xfId="0" applyFont="1" applyProtection="1">
      <protection hidden="1"/>
    </xf>
    <xf numFmtId="43" fontId="5" fillId="0" borderId="0" xfId="1" applyFont="1" applyProtection="1">
      <protection hidden="1"/>
    </xf>
    <xf numFmtId="0" fontId="4" fillId="0" borderId="4" xfId="0" applyFont="1" applyFill="1" applyBorder="1" applyAlignment="1" applyProtection="1">
      <alignment horizontal="center" vertical="center"/>
      <protection hidden="1"/>
    </xf>
    <xf numFmtId="0" fontId="4" fillId="0" borderId="6" xfId="0" applyFont="1" applyFill="1" applyBorder="1" applyAlignment="1" applyProtection="1">
      <alignment horizontal="center" vertical="center" wrapText="1"/>
      <protection hidden="1"/>
    </xf>
    <xf numFmtId="43" fontId="4" fillId="0" borderId="6" xfId="1" applyFont="1" applyFill="1" applyBorder="1" applyAlignment="1" applyProtection="1">
      <alignment horizontal="center" vertical="center" wrapText="1"/>
      <protection hidden="1"/>
    </xf>
    <xf numFmtId="0" fontId="4" fillId="0" borderId="3" xfId="0" applyFont="1" applyFill="1" applyBorder="1" applyAlignment="1" applyProtection="1">
      <alignment horizontal="center" vertical="center"/>
      <protection hidden="1"/>
    </xf>
    <xf numFmtId="17" fontId="4" fillId="0" borderId="7" xfId="0" applyNumberFormat="1" applyFont="1" applyFill="1" applyBorder="1" applyAlignment="1" applyProtection="1">
      <alignment horizontal="left" vertical="center"/>
      <protection locked="0"/>
    </xf>
    <xf numFmtId="164" fontId="8" fillId="0" borderId="5" xfId="1" applyNumberFormat="1" applyFont="1" applyFill="1" applyBorder="1" applyAlignment="1" applyProtection="1">
      <alignment vertical="center"/>
      <protection locked="0"/>
    </xf>
    <xf numFmtId="43" fontId="8" fillId="0" borderId="5" xfId="1" applyFont="1" applyFill="1" applyBorder="1" applyAlignment="1" applyProtection="1">
      <alignment vertical="center"/>
      <protection hidden="1"/>
    </xf>
    <xf numFmtId="43" fontId="8" fillId="0" borderId="5" xfId="1" applyFont="1" applyFill="1" applyBorder="1" applyAlignment="1" applyProtection="1">
      <alignment vertical="center"/>
      <protection locked="0"/>
    </xf>
    <xf numFmtId="43" fontId="4" fillId="0" borderId="5" xfId="1" applyFont="1" applyFill="1" applyBorder="1" applyAlignment="1" applyProtection="1">
      <alignment vertical="center"/>
      <protection hidden="1"/>
    </xf>
    <xf numFmtId="0" fontId="4" fillId="0" borderId="8" xfId="0" applyFont="1" applyFill="1" applyBorder="1" applyAlignment="1" applyProtection="1">
      <alignment vertical="center"/>
      <protection locked="0"/>
    </xf>
    <xf numFmtId="43" fontId="4" fillId="0" borderId="5" xfId="1" applyFont="1" applyFill="1" applyBorder="1" applyProtection="1">
      <protection hidden="1"/>
    </xf>
    <xf numFmtId="166" fontId="4" fillId="0" borderId="8" xfId="0" applyNumberFormat="1" applyFont="1" applyFill="1" applyBorder="1" applyAlignment="1" applyProtection="1">
      <alignment vertical="center"/>
      <protection locked="0"/>
    </xf>
    <xf numFmtId="17" fontId="4" fillId="0" borderId="2" xfId="0" applyNumberFormat="1" applyFont="1" applyFill="1" applyBorder="1" applyAlignment="1" applyProtection="1">
      <alignment horizontal="center" vertical="center"/>
      <protection hidden="1"/>
    </xf>
    <xf numFmtId="164" fontId="5" fillId="0" borderId="9" xfId="1" applyNumberFormat="1" applyFont="1" applyFill="1" applyBorder="1" applyAlignment="1" applyProtection="1">
      <alignment horizontal="center" vertical="center"/>
      <protection hidden="1"/>
    </xf>
    <xf numFmtId="43" fontId="5" fillId="0" borderId="9" xfId="1" applyFont="1" applyFill="1" applyBorder="1" applyAlignment="1" applyProtection="1">
      <alignment horizontal="center" vertical="center"/>
      <protection hidden="1"/>
    </xf>
    <xf numFmtId="0" fontId="4" fillId="0" borderId="1" xfId="0" applyFont="1" applyFill="1" applyBorder="1" applyAlignment="1" applyProtection="1">
      <alignment horizontal="center" vertical="center"/>
      <protection hidden="1"/>
    </xf>
    <xf numFmtId="0" fontId="4" fillId="2" borderId="6" xfId="0" applyFont="1" applyFill="1" applyBorder="1" applyAlignment="1" applyProtection="1">
      <alignment horizontal="center" vertical="center" wrapText="1"/>
      <protection hidden="1"/>
    </xf>
    <xf numFmtId="0" fontId="4" fillId="0" borderId="5" xfId="0" quotePrefix="1" applyFont="1" applyFill="1" applyBorder="1" applyAlignment="1" applyProtection="1">
      <alignment horizontal="center" vertical="center"/>
      <protection locked="0"/>
    </xf>
    <xf numFmtId="43" fontId="4" fillId="0" borderId="5" xfId="1" applyFont="1" applyFill="1" applyBorder="1" applyAlignment="1" applyProtection="1">
      <alignment vertical="center"/>
      <protection locked="0"/>
    </xf>
    <xf numFmtId="43" fontId="9" fillId="0" borderId="5" xfId="1" applyFont="1" applyFill="1" applyBorder="1" applyAlignment="1" applyProtection="1">
      <alignment vertical="center"/>
      <protection hidden="1"/>
    </xf>
    <xf numFmtId="43" fontId="5" fillId="0" borderId="0" xfId="1" applyFont="1" applyBorder="1" applyProtection="1">
      <protection hidden="1"/>
    </xf>
    <xf numFmtId="0" fontId="6" fillId="0" borderId="5" xfId="0" applyFont="1" applyBorder="1" applyAlignment="1" applyProtection="1">
      <alignment horizontal="center" vertical="center"/>
      <protection hidden="1"/>
    </xf>
    <xf numFmtId="0" fontId="6" fillId="2" borderId="5" xfId="0" applyFont="1" applyFill="1" applyBorder="1" applyAlignment="1" applyProtection="1">
      <alignment horizontal="center" vertical="center"/>
    </xf>
    <xf numFmtId="165" fontId="4" fillId="0" borderId="5" xfId="1" applyNumberFormat="1" applyFont="1" applyFill="1" applyBorder="1" applyAlignment="1" applyProtection="1">
      <alignment horizontal="center" vertical="center"/>
      <protection locked="0"/>
    </xf>
    <xf numFmtId="164" fontId="4" fillId="0" borderId="5" xfId="1" quotePrefix="1" applyNumberFormat="1" applyFont="1" applyFill="1" applyBorder="1" applyAlignment="1" applyProtection="1">
      <alignment horizontal="center" vertical="center"/>
      <protection hidden="1"/>
    </xf>
    <xf numFmtId="164" fontId="4" fillId="0" borderId="5" xfId="1" applyNumberFormat="1" applyFont="1" applyFill="1" applyBorder="1" applyAlignment="1" applyProtection="1">
      <alignment horizontal="center" vertical="center"/>
      <protection hidden="1"/>
    </xf>
    <xf numFmtId="0" fontId="4" fillId="0" borderId="4" xfId="0" applyFont="1" applyFill="1" applyBorder="1" applyAlignment="1" applyProtection="1">
      <alignment horizontal="center" vertical="center" wrapText="1"/>
    </xf>
    <xf numFmtId="0" fontId="4" fillId="0" borderId="6" xfId="0" applyFont="1" applyFill="1" applyBorder="1" applyAlignment="1" applyProtection="1">
      <alignment horizontal="center" vertical="center" wrapText="1"/>
    </xf>
    <xf numFmtId="0" fontId="4" fillId="2" borderId="6" xfId="0" applyFont="1" applyFill="1" applyBorder="1" applyAlignment="1" applyProtection="1">
      <alignment horizontal="center" vertical="center" wrapText="1"/>
    </xf>
    <xf numFmtId="0" fontId="4" fillId="0" borderId="3" xfId="0" applyFont="1" applyFill="1" applyBorder="1" applyAlignment="1" applyProtection="1">
      <alignment horizontal="center" vertical="center" wrapText="1"/>
    </xf>
    <xf numFmtId="17" fontId="4" fillId="0" borderId="7" xfId="0" applyNumberFormat="1" applyFont="1" applyFill="1" applyBorder="1" applyAlignment="1" applyProtection="1">
      <alignment horizontal="left" vertical="center"/>
      <protection hidden="1"/>
    </xf>
    <xf numFmtId="43" fontId="9" fillId="0" borderId="8" xfId="1" applyFont="1" applyFill="1" applyBorder="1" applyAlignment="1" applyProtection="1">
      <alignment horizontal="left" vertical="center" indent="3"/>
      <protection hidden="1"/>
    </xf>
    <xf numFmtId="2" fontId="5" fillId="0" borderId="2" xfId="0" applyNumberFormat="1" applyFont="1" applyFill="1" applyBorder="1" applyAlignment="1" applyProtection="1">
      <alignment horizontal="center" vertical="center"/>
      <protection hidden="1"/>
    </xf>
    <xf numFmtId="164" fontId="4" fillId="0" borderId="9" xfId="1" quotePrefix="1" applyNumberFormat="1" applyFont="1" applyFill="1" applyBorder="1" applyAlignment="1" applyProtection="1">
      <alignment horizontal="center" vertical="center"/>
      <protection hidden="1"/>
    </xf>
    <xf numFmtId="43" fontId="5" fillId="0" borderId="1" xfId="1" applyFont="1" applyFill="1" applyBorder="1" applyAlignment="1" applyProtection="1">
      <alignment horizontal="center" vertical="center"/>
      <protection hidden="1"/>
    </xf>
    <xf numFmtId="0" fontId="14" fillId="0" borderId="0" xfId="0" applyFont="1" applyAlignment="1" applyProtection="1">
      <alignment vertical="center"/>
      <protection hidden="1"/>
    </xf>
    <xf numFmtId="0" fontId="6" fillId="0" borderId="4" xfId="0" applyFont="1" applyBorder="1" applyAlignment="1" applyProtection="1">
      <alignment horizontal="center" vertical="center" wrapText="1"/>
      <protection hidden="1"/>
    </xf>
    <xf numFmtId="0" fontId="6" fillId="2" borderId="6" xfId="0" applyFont="1" applyFill="1" applyBorder="1" applyAlignment="1" applyProtection="1">
      <alignment horizontal="center" vertical="center" wrapText="1"/>
      <protection hidden="1"/>
    </xf>
    <xf numFmtId="0" fontId="6" fillId="0" borderId="3" xfId="0" applyFont="1" applyBorder="1" applyAlignment="1" applyProtection="1">
      <alignment horizontal="center" vertical="center" wrapText="1"/>
      <protection hidden="1"/>
    </xf>
    <xf numFmtId="17" fontId="6" fillId="0" borderId="7" xfId="0" applyNumberFormat="1" applyFont="1" applyBorder="1" applyAlignment="1" applyProtection="1">
      <alignment horizontal="left" vertical="center"/>
      <protection hidden="1"/>
    </xf>
    <xf numFmtId="43" fontId="6" fillId="0" borderId="5" xfId="1" applyFont="1" applyBorder="1" applyAlignment="1" applyProtection="1">
      <alignment horizontal="right" vertical="center"/>
      <protection locked="0"/>
    </xf>
    <xf numFmtId="40" fontId="6" fillId="0" borderId="8" xfId="1" applyNumberFormat="1" applyFont="1" applyBorder="1" applyAlignment="1" applyProtection="1">
      <alignment horizontal="right" vertical="center"/>
      <protection hidden="1"/>
    </xf>
    <xf numFmtId="0" fontId="7" fillId="0" borderId="2" xfId="0" applyFont="1" applyBorder="1" applyAlignment="1" applyProtection="1">
      <alignment horizontal="center" vertical="center"/>
      <protection hidden="1"/>
    </xf>
    <xf numFmtId="43" fontId="7" fillId="0" borderId="9" xfId="1" applyFont="1" applyBorder="1" applyAlignment="1" applyProtection="1">
      <alignment vertical="center"/>
      <protection hidden="1"/>
    </xf>
    <xf numFmtId="40" fontId="6" fillId="0" borderId="1" xfId="1" applyNumberFormat="1" applyFont="1" applyBorder="1" applyAlignment="1" applyProtection="1">
      <alignment horizontal="right" vertical="center"/>
      <protection hidden="1"/>
    </xf>
    <xf numFmtId="167" fontId="6" fillId="0" borderId="5" xfId="1" quotePrefix="1" applyNumberFormat="1" applyFont="1" applyFill="1" applyBorder="1" applyAlignment="1" applyProtection="1">
      <alignment horizontal="center" vertical="center"/>
      <protection locked="0"/>
    </xf>
    <xf numFmtId="0" fontId="4" fillId="0" borderId="4" xfId="0" applyFont="1" applyFill="1" applyBorder="1" applyAlignment="1" applyProtection="1">
      <alignment vertical="center"/>
      <protection hidden="1"/>
    </xf>
    <xf numFmtId="0" fontId="4" fillId="2" borderId="6" xfId="0" applyFont="1" applyFill="1" applyBorder="1" applyAlignment="1" applyProtection="1">
      <alignment horizontal="center" vertical="center"/>
      <protection hidden="1"/>
    </xf>
    <xf numFmtId="0" fontId="4" fillId="0" borderId="6" xfId="0" applyFont="1" applyFill="1" applyBorder="1" applyAlignment="1" applyProtection="1">
      <alignment vertical="center" wrapText="1"/>
      <protection hidden="1"/>
    </xf>
    <xf numFmtId="0" fontId="4" fillId="0" borderId="3" xfId="0" applyFont="1" applyFill="1" applyBorder="1" applyAlignment="1" applyProtection="1">
      <alignment vertical="center"/>
      <protection hidden="1"/>
    </xf>
    <xf numFmtId="43" fontId="9" fillId="0" borderId="8" xfId="1" applyFont="1" applyFill="1" applyBorder="1" applyAlignment="1" applyProtection="1">
      <alignment vertical="center"/>
      <protection locked="0"/>
    </xf>
    <xf numFmtId="0" fontId="5" fillId="0" borderId="2" xfId="0" applyFont="1" applyFill="1" applyBorder="1" applyAlignment="1" applyProtection="1">
      <alignment horizontal="center" vertical="center"/>
      <protection hidden="1"/>
    </xf>
    <xf numFmtId="43" fontId="5" fillId="0" borderId="9" xfId="1" applyFont="1" applyFill="1" applyBorder="1" applyAlignment="1" applyProtection="1">
      <alignment vertical="center"/>
      <protection hidden="1"/>
    </xf>
    <xf numFmtId="43" fontId="6" fillId="0" borderId="1" xfId="1" applyFont="1" applyFill="1" applyBorder="1" applyAlignment="1" applyProtection="1">
      <alignment vertical="center"/>
      <protection locked="0"/>
    </xf>
    <xf numFmtId="0" fontId="4" fillId="0" borderId="9" xfId="0" applyFont="1" applyFill="1" applyBorder="1" applyAlignment="1" applyProtection="1">
      <alignment vertical="center" wrapText="1"/>
    </xf>
    <xf numFmtId="0" fontId="4" fillId="0" borderId="9" xfId="0" applyFont="1" applyFill="1" applyBorder="1" applyAlignment="1" applyProtection="1">
      <alignment horizontal="center" vertical="center" wrapText="1"/>
    </xf>
    <xf numFmtId="0" fontId="4" fillId="3" borderId="6" xfId="0" applyFont="1" applyFill="1" applyBorder="1" applyAlignment="1" applyProtection="1">
      <alignment horizontal="center" vertical="center" wrapText="1"/>
    </xf>
    <xf numFmtId="0" fontId="5" fillId="0" borderId="6" xfId="0" applyFont="1" applyFill="1" applyBorder="1" applyAlignment="1" applyProtection="1">
      <alignment horizontal="center" vertical="center" wrapText="1"/>
    </xf>
    <xf numFmtId="0" fontId="6" fillId="0" borderId="0" xfId="0" applyFont="1" applyBorder="1" applyAlignment="1" applyProtection="1">
      <alignment horizontal="center" vertical="center"/>
      <protection hidden="1"/>
    </xf>
    <xf numFmtId="49" fontId="6" fillId="0" borderId="0" xfId="0" applyNumberFormat="1" applyFont="1" applyBorder="1" applyAlignment="1" applyProtection="1">
      <alignment horizontal="center" vertical="center"/>
      <protection locked="0"/>
    </xf>
    <xf numFmtId="0" fontId="4" fillId="0" borderId="0" xfId="0" applyFont="1" applyBorder="1" applyAlignment="1" applyProtection="1">
      <alignment horizontal="left" vertical="center"/>
      <protection locked="0"/>
    </xf>
    <xf numFmtId="0" fontId="4" fillId="0" borderId="0" xfId="0" applyFont="1" applyBorder="1" applyAlignment="1" applyProtection="1">
      <alignment horizontal="center" vertical="center"/>
      <protection locked="0"/>
    </xf>
    <xf numFmtId="1" fontId="6" fillId="0" borderId="0" xfId="0" applyNumberFormat="1" applyFont="1" applyBorder="1" applyAlignment="1" applyProtection="1">
      <alignment horizontal="center" vertical="center"/>
      <protection locked="0"/>
    </xf>
    <xf numFmtId="0" fontId="6" fillId="0" borderId="0" xfId="0" applyFont="1" applyBorder="1" applyAlignment="1" applyProtection="1">
      <alignment horizontal="center" vertical="center"/>
      <protection locked="0"/>
    </xf>
    <xf numFmtId="0" fontId="0" fillId="0" borderId="0" xfId="0" applyFont="1" applyBorder="1" applyAlignment="1" applyProtection="1">
      <alignment horizontal="left"/>
      <protection locked="0"/>
    </xf>
    <xf numFmtId="0" fontId="0" fillId="0" borderId="0" xfId="0" applyFont="1" applyBorder="1" applyAlignment="1" applyProtection="1">
      <alignment horizontal="center"/>
      <protection locked="0"/>
    </xf>
    <xf numFmtId="0" fontId="0" fillId="0" borderId="0" xfId="0" applyFont="1" applyBorder="1" applyProtection="1">
      <protection locked="0"/>
    </xf>
    <xf numFmtId="49" fontId="0" fillId="0" borderId="0" xfId="0" applyNumberFormat="1" applyFont="1" applyBorder="1" applyAlignment="1" applyProtection="1">
      <alignment horizontal="center"/>
      <protection locked="0"/>
    </xf>
    <xf numFmtId="0" fontId="4" fillId="0" borderId="0" xfId="0" quotePrefix="1" applyFont="1" applyAlignment="1" applyProtection="1">
      <alignment vertical="center"/>
      <protection hidden="1"/>
    </xf>
    <xf numFmtId="0" fontId="4" fillId="4" borderId="6" xfId="0" applyFont="1" applyFill="1" applyBorder="1" applyAlignment="1" applyProtection="1">
      <alignment horizontal="center" vertical="center" wrapText="1"/>
      <protection hidden="1"/>
    </xf>
    <xf numFmtId="0" fontId="19" fillId="0" borderId="0" xfId="0" applyFont="1" applyProtection="1">
      <protection hidden="1"/>
    </xf>
    <xf numFmtId="43" fontId="18" fillId="0" borderId="0" xfId="1" applyFont="1" applyProtection="1">
      <protection hidden="1"/>
    </xf>
    <xf numFmtId="0" fontId="11" fillId="0" borderId="0" xfId="0" applyFont="1" applyFill="1" applyAlignment="1" applyProtection="1">
      <alignment horizontal="center" vertical="center"/>
      <protection locked="0"/>
    </xf>
    <xf numFmtId="0" fontId="11" fillId="0" borderId="0" xfId="0" applyFont="1" applyFill="1" applyAlignment="1" applyProtection="1">
      <alignment horizontal="center" vertical="center"/>
      <protection hidden="1"/>
    </xf>
    <xf numFmtId="0" fontId="4" fillId="0" borderId="0" xfId="0" applyFont="1" applyFill="1" applyAlignment="1" applyProtection="1">
      <alignment horizontal="center" vertical="center"/>
      <protection hidden="1"/>
    </xf>
    <xf numFmtId="0" fontId="12" fillId="0" borderId="0" xfId="0" applyFont="1" applyAlignment="1" applyProtection="1">
      <alignment horizontal="center" vertical="center"/>
      <protection hidden="1"/>
    </xf>
    <xf numFmtId="0" fontId="6" fillId="0" borderId="0" xfId="0" applyFont="1" applyAlignment="1" applyProtection="1">
      <alignment horizontal="center" vertical="center"/>
      <protection hidden="1"/>
    </xf>
    <xf numFmtId="0" fontId="5" fillId="0" borderId="0" xfId="0" applyFont="1" applyAlignment="1" applyProtection="1">
      <alignment horizontal="left"/>
      <protection locked="0"/>
    </xf>
    <xf numFmtId="0" fontId="12" fillId="0" borderId="0" xfId="0" applyFont="1" applyAlignment="1" applyProtection="1">
      <alignment horizontal="center" vertical="center"/>
    </xf>
    <xf numFmtId="0" fontId="6" fillId="0" borderId="0" xfId="0" applyFont="1" applyAlignment="1" applyProtection="1">
      <alignment horizontal="center" vertical="center"/>
      <protection locked="0"/>
    </xf>
    <xf numFmtId="0" fontId="5" fillId="0" borderId="9" xfId="0" applyFont="1" applyFill="1" applyBorder="1" applyAlignment="1" applyProtection="1">
      <alignment horizontal="center" vertical="center" wrapText="1"/>
    </xf>
    <xf numFmtId="43" fontId="1" fillId="0" borderId="0" xfId="1" applyFont="1" applyFill="1" applyAlignment="1" applyProtection="1">
      <alignment vertical="center"/>
      <protection hidden="1"/>
    </xf>
    <xf numFmtId="0" fontId="1" fillId="0" borderId="0" xfId="0" applyFont="1" applyFill="1" applyAlignment="1" applyProtection="1">
      <alignment vertical="center"/>
      <protection hidden="1"/>
    </xf>
    <xf numFmtId="0" fontId="1" fillId="0" borderId="0" xfId="0" applyFont="1" applyFill="1" applyAlignment="1" applyProtection="1">
      <alignment horizontal="center" vertical="center"/>
      <protection hidden="1"/>
    </xf>
    <xf numFmtId="0" fontId="22" fillId="0" borderId="0" xfId="0" applyFont="1" applyFill="1" applyAlignment="1" applyProtection="1">
      <alignment horizontal="right" vertical="center"/>
      <protection hidden="1"/>
    </xf>
    <xf numFmtId="43" fontId="23" fillId="0" borderId="0" xfId="1" applyFont="1" applyFill="1" applyAlignment="1" applyProtection="1">
      <alignment horizontal="center" vertical="center"/>
      <protection hidden="1"/>
    </xf>
    <xf numFmtId="0" fontId="24" fillId="0" borderId="0" xfId="0" applyFont="1" applyFill="1" applyAlignment="1" applyProtection="1">
      <alignment vertical="center"/>
      <protection hidden="1"/>
    </xf>
    <xf numFmtId="0" fontId="20" fillId="0" borderId="0" xfId="0" applyFont="1" applyFill="1" applyAlignment="1" applyProtection="1">
      <alignment horizontal="left" vertical="center"/>
      <protection hidden="1"/>
    </xf>
    <xf numFmtId="0" fontId="1" fillId="0" borderId="0" xfId="0" applyFont="1" applyProtection="1">
      <protection hidden="1"/>
    </xf>
    <xf numFmtId="0" fontId="1" fillId="0" borderId="0" xfId="0" applyFont="1"/>
    <xf numFmtId="0" fontId="1" fillId="0" borderId="5" xfId="0" applyFont="1" applyBorder="1"/>
    <xf numFmtId="0" fontId="20" fillId="0" borderId="0" xfId="0" applyFont="1" applyAlignment="1" applyProtection="1">
      <alignment horizontal="left"/>
      <protection hidden="1"/>
    </xf>
    <xf numFmtId="0" fontId="21" fillId="0" borderId="0" xfId="0" applyFont="1" applyAlignment="1" applyProtection="1">
      <alignment horizontal="right" vertical="center"/>
      <protection hidden="1"/>
    </xf>
    <xf numFmtId="43" fontId="21" fillId="0" borderId="0" xfId="1" applyFont="1" applyAlignment="1" applyProtection="1">
      <alignment vertical="center"/>
      <protection locked="0"/>
    </xf>
    <xf numFmtId="0" fontId="1" fillId="0" borderId="0" xfId="0" applyFont="1"/>
  </cellXfs>
  <cellStyles count="2">
    <cellStyle name="Comma" xfId="1" builtinId="3"/>
    <cellStyle name="Normal" xfId="0" builtinId="0"/>
  </cellStyles>
  <dxfs count="96">
    <dxf>
      <border>
        <left style="thin">
          <color auto="1"/>
        </left>
        <right style="thin">
          <color auto="1"/>
        </right>
        <top style="thin">
          <color auto="1"/>
        </top>
        <bottom style="thin">
          <color auto="1"/>
        </bottom>
      </border>
    </dxf>
    <dxf>
      <font>
        <b val="0"/>
        <i val="0"/>
        <strike val="0"/>
        <condense val="0"/>
        <extend val="0"/>
        <outline val="0"/>
        <shadow val="0"/>
        <u val="none"/>
        <vertAlign val="baseline"/>
        <sz val="11"/>
        <color theme="1"/>
        <name val="Arial"/>
        <scheme val="none"/>
      </font>
      <numFmt numFmtId="35"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numFmt numFmtId="35"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numFmt numFmtId="35"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family val="2"/>
        <scheme val="none"/>
      </font>
      <numFmt numFmtId="35"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numFmt numFmtId="22" formatCode="mmm\-yy"/>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scheme val="none"/>
      </font>
      <alignment horizontal="general" vertical="center" textRotation="0" wrapText="0" indent="0" justifyLastLine="0" shrinkToFit="0" readingOrder="0"/>
      <protection locked="1" hidden="1"/>
    </dxf>
    <dxf>
      <font>
        <strike val="0"/>
        <outline val="0"/>
        <shadow val="0"/>
        <u val="none"/>
        <vertAlign val="baseline"/>
        <name val="Arial"/>
        <scheme val="none"/>
      </font>
      <alignment vertical="center" textRotation="0" indent="0" justifyLastLine="0" readingOrder="0"/>
      <protection locked="1" hidden="1"/>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numFmt numFmtId="35"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numFmt numFmtId="35"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numFmt numFmtId="35"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family val="2"/>
        <scheme val="none"/>
      </font>
      <numFmt numFmtId="35" formatCode="_-* #,##0.00_-;\-* #,##0.00_-;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font>
        <b val="0"/>
        <i val="0"/>
        <strike val="0"/>
        <condense val="0"/>
        <extend val="0"/>
        <outline val="0"/>
        <shadow val="0"/>
        <u val="none"/>
        <vertAlign val="baseline"/>
        <sz val="11"/>
        <color theme="1"/>
        <name val="Arial"/>
        <scheme val="none"/>
      </font>
      <numFmt numFmtId="22" formatCode="mmm\-yy"/>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alignment horizontal="general" vertical="center" textRotation="0" wrapText="0" indent="0" justifyLastLine="0" shrinkToFit="0" readingOrder="0"/>
      <protection locked="1" hidden="1"/>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scheme val="none"/>
      </font>
      <alignment horizontal="general" vertical="center" textRotation="0" wrapText="0" indent="0" justifyLastLine="0" shrinkToFit="0" readingOrder="0"/>
      <protection locked="1" hidden="1"/>
    </dxf>
    <dxf>
      <font>
        <strike val="0"/>
        <outline val="0"/>
        <shadow val="0"/>
        <u val="none"/>
        <vertAlign val="baseline"/>
        <name val="Arial"/>
        <scheme val="none"/>
      </font>
      <alignment vertical="center" textRotation="0" indent="0" justifyLastLine="0" readingOrder="0"/>
      <protection locked="1" hidden="1"/>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numFmt numFmtId="35" formatCode="_-* #,##0.00_-;\-* #,##0.00_-;_-* &quot;-&quot;??_-;_-@_-"/>
      <fill>
        <patternFill patternType="none">
          <fgColor indexed="64"/>
          <bgColor indexed="65"/>
        </patternFill>
      </fill>
      <alignment horizontal="left" vertical="center" textRotation="0" wrapText="0" indent="3"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numFmt numFmtId="164" formatCode="_(* #,##0_);_(* \(#,##0\);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numFmt numFmtId="164" formatCode="_(* #,##0_);_(* \(#,##0\);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family val="2"/>
        <scheme val="none"/>
      </font>
      <numFmt numFmtId="165" formatCode="_-* #,##0_-;\-* #,##0_-;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Arial"/>
        <scheme val="none"/>
      </font>
      <numFmt numFmtId="164" formatCode="_(* #,##0_);_(* \(#,##0\);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numFmt numFmtId="164" formatCode="_(* #,##0_);_(* \(#,##0\);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numFmt numFmtId="164" formatCode="_(* #,##0_);_(* \(#,##0\);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numFmt numFmtId="165" formatCode="_-* #,##0_-;\-* #,##0_-;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numFmt numFmtId="169" formatCode="mmm/yy"/>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border>
        <top style="thin">
          <color rgb="FF000000"/>
        </top>
      </border>
    </dxf>
    <dxf>
      <border>
        <bottom style="thin">
          <color rgb="FF000000"/>
        </bottom>
      </border>
    </dxf>
    <dxf>
      <border diagonalUp="0" diagonalDown="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rgb="FF000000"/>
        <name val="Arial"/>
        <scheme val="none"/>
      </font>
      <fill>
        <patternFill patternType="none">
          <fgColor rgb="FF000000"/>
          <bgColor rgb="FFFFFFFF"/>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0"/>
    </dxf>
    <dxf>
      <font>
        <b val="0"/>
        <i val="0"/>
        <strike val="0"/>
        <condense val="0"/>
        <extend val="0"/>
        <outline val="0"/>
        <shadow val="0"/>
        <u val="none"/>
        <vertAlign val="baseline"/>
        <sz val="11"/>
        <color auto="1"/>
        <name val="Arial"/>
        <family val="2"/>
        <scheme val="none"/>
      </font>
      <numFmt numFmtId="168" formatCode="#,##0.00_);[Red]\(#,##0.00\)"/>
      <alignment horizontal="right"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auto="1"/>
        <name val="Arial"/>
        <family val="2"/>
        <scheme val="none"/>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auto="1"/>
        <name val="Arial"/>
        <family val="2"/>
        <scheme val="none"/>
      </font>
      <alignment horizontal="righ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auto="1"/>
        <name val="Arial"/>
        <family val="2"/>
        <scheme val="none"/>
      </font>
      <numFmt numFmtId="169" formatCode="mmm/yy"/>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1"/>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color auto="1"/>
        <name val="Arial"/>
        <family val="2"/>
        <scheme val="none"/>
      </font>
      <protection locked="1" hidden="1"/>
    </dxf>
    <dxf>
      <border>
        <bottom style="thin">
          <color indexed="64"/>
        </bottom>
      </border>
    </dxf>
    <dxf>
      <font>
        <b val="0"/>
        <i val="0"/>
        <strike val="0"/>
        <condense val="0"/>
        <extend val="0"/>
        <outline val="0"/>
        <shadow val="0"/>
        <u val="none"/>
        <vertAlign val="baseline"/>
        <sz val="11"/>
        <color auto="1"/>
        <name val="Arial"/>
        <family val="2"/>
        <scheme val="none"/>
      </font>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numFmt numFmtId="35" formatCode="_-* #,##0.00_-;\-* #,##0.00_-;_-* &quot;-&quot;??_-;_-@_-"/>
      <fill>
        <patternFill patternType="none">
          <fgColor indexed="64"/>
          <bgColor indexed="65"/>
        </patternFill>
      </fill>
      <alignment horizontal="left" vertical="center" textRotation="0" wrapText="0" indent="3"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numFmt numFmtId="164" formatCode="_(* #,##0_);_(* \(#,##0\);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numFmt numFmtId="164" formatCode="_(* #,##0_);_(* \(#,##0\);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family val="2"/>
        <scheme val="none"/>
      </font>
      <numFmt numFmtId="165" formatCode="_-* #,##0_-;\-* #,##0_-;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val="0"/>
        <i val="0"/>
        <strike val="0"/>
        <condense val="0"/>
        <extend val="0"/>
        <outline val="0"/>
        <shadow val="0"/>
        <u val="none"/>
        <vertAlign val="baseline"/>
        <sz val="11"/>
        <color theme="1"/>
        <name val="Arial"/>
        <scheme val="none"/>
      </font>
      <numFmt numFmtId="164" formatCode="_(* #,##0_);_(* \(#,##0\);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numFmt numFmtId="164" formatCode="_(* #,##0_);_(* \(#,##0\);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numFmt numFmtId="164" formatCode="_(* #,##0_);_(* \(#,##0\);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scheme val="none"/>
      </font>
      <numFmt numFmtId="165" formatCode="_-* #,##0_-;\-* #,##0_-;_-* &quot;-&quot;??_-;_-@_-"/>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scheme val="none"/>
      </font>
      <numFmt numFmtId="169" formatCode="mmm/yy"/>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0"/>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0" indent="0" justifyLastLine="0" shrinkToFit="0" readingOrder="0"/>
      <protection locked="1" hidden="0"/>
    </dxf>
    <dxf>
      <border>
        <bottom style="thin">
          <color indexed="64"/>
        </bottom>
      </border>
    </dxf>
    <dxf>
      <font>
        <b val="0"/>
        <i val="0"/>
        <strike val="0"/>
        <condense val="0"/>
        <extend val="0"/>
        <outline val="0"/>
        <shadow val="0"/>
        <u val="none"/>
        <vertAlign val="baseline"/>
        <sz val="11"/>
        <color theme="1"/>
        <name val="Arial"/>
        <scheme val="none"/>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0"/>
    </dxf>
    <dxf>
      <font>
        <b val="0"/>
        <i val="0"/>
        <strike val="0"/>
        <condense val="0"/>
        <extend val="0"/>
        <outline val="0"/>
        <shadow val="0"/>
        <u val="none"/>
        <vertAlign val="baseline"/>
        <sz val="11"/>
        <color theme="1"/>
        <name val="Arial"/>
        <family val="2"/>
        <scheme val="none"/>
      </font>
      <numFmt numFmtId="166" formatCode="_(* #,##0.000_);_(* \(#,##0.000\);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family val="2"/>
        <scheme val="none"/>
      </font>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rgb="FF000000"/>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rgb="FF000000"/>
        <name val="Arial"/>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rgb="FF000000"/>
        <name val="Arial"/>
        <family val="2"/>
        <scheme val="none"/>
      </font>
      <numFmt numFmtId="164" formatCode="_(* #,##0_);_(* \(#,##0\);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rgb="FF000000"/>
        <name val="Arial"/>
        <family val="2"/>
        <scheme val="none"/>
      </font>
      <numFmt numFmtId="170" formatCode="_(* #,##0.000_);_(* \(#,##0.000\);_(* &quot;-&quot;??_);_(@_)"/>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val="0"/>
        <i val="0"/>
        <strike val="0"/>
        <condense val="0"/>
        <extend val="0"/>
        <outline val="0"/>
        <shadow val="0"/>
        <u val="none"/>
        <vertAlign val="baseline"/>
        <sz val="11"/>
        <color theme="1"/>
        <name val="Arial"/>
        <family val="2"/>
        <scheme val="none"/>
      </font>
      <numFmt numFmtId="169" formatCode="mmm/yy"/>
      <fill>
        <patternFill patternType="none">
          <fgColor indexed="64"/>
          <bgColor indexed="65"/>
        </patternFill>
      </fill>
      <alignment horizontal="left" vertic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protection locked="1" hidden="1"/>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Arial"/>
        <family val="2"/>
        <scheme val="none"/>
      </font>
      <fill>
        <patternFill patternType="none">
          <fgColor indexed="64"/>
          <bgColor indexed="65"/>
        </patternFill>
      </fill>
      <alignment horizontal="general" vertical="center" textRotation="0" wrapText="0" indent="0" justifyLastLine="0" shrinkToFit="0" readingOrder="0"/>
      <protection locked="1" hidden="1"/>
    </dxf>
    <dxf>
      <border>
        <bottom style="thin">
          <color indexed="64"/>
        </bottom>
      </border>
    </dxf>
    <dxf>
      <font>
        <b val="0"/>
        <i val="0"/>
        <strike val="0"/>
        <condense val="0"/>
        <extend val="0"/>
        <outline val="0"/>
        <shadow val="0"/>
        <u val="none"/>
        <vertAlign val="baseline"/>
        <sz val="11"/>
        <color theme="1"/>
        <name val="Arial"/>
        <family val="2"/>
        <scheme val="none"/>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protection locked="1" hidden="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Table8" displayName="Table8" ref="A4:G17" totalsRowShown="0" headerRowDxfId="95" dataDxfId="93" headerRowBorderDxfId="94" tableBorderDxfId="92" totalsRowBorderDxfId="91" dataCellStyle="Comma">
  <tableColumns count="7">
    <tableColumn id="1" xr3:uid="{00000000-0010-0000-0000-000001000000}" name="Month" dataDxfId="90"/>
    <tableColumn id="2" xr3:uid="{00000000-0010-0000-0000-000002000000}" name="Carton_x000a_KG" dataDxfId="89" dataCellStyle="Comma"/>
    <tableColumn id="3" xr3:uid="{00000000-0010-0000-0000-000003000000}" name="Avg._x000a_Rate" dataDxfId="88" dataCellStyle="Comma">
      <calculatedColumnFormula>IFERROR(Table8[[#This Row],[Carton
Taka]]/Table8[[#This Row],[Carton
KG]],"")</calculatedColumnFormula>
    </tableColumn>
    <tableColumn id="4" xr3:uid="{00000000-0010-0000-0000-000004000000}" name="Carton_x000a_Taka" dataDxfId="87" dataCellStyle="Comma"/>
    <tableColumn id="5" xr3:uid="{00000000-0010-0000-0000-000005000000}" name=" Others Sales_x000a_Taka" dataDxfId="86" dataCellStyle="Comma"/>
    <tableColumn id="6" xr3:uid="{00000000-0010-0000-0000-000006000000}" name="Total Taka" dataDxfId="85" dataCellStyle="Comma">
      <calculatedColumnFormula>Table8[[#This Row],[Carton
Taka]]+Table8[[#This Row],[ Others Sales
Taka]]</calculatedColumnFormula>
    </tableColumn>
    <tableColumn id="7" xr3:uid="{00000000-0010-0000-0000-000007000000}" name="Comments" dataDxfId="8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D40171F-A8E2-41D4-8980-E99FE55A8A15}" name="Table4445" displayName="Table4445" ref="A7:H20" totalsRowShown="0" headerRowDxfId="44" dataDxfId="43" totalsRowDxfId="42" headerRowBorderDxfId="40" tableBorderDxfId="41" totalsRowBorderDxfId="39">
  <tableColumns count="8">
    <tableColumn id="1" xr3:uid="{8CEC1122-8A9F-4931-A369-FCCC781E3A01}" name="Month" dataDxfId="37" totalsRowDxfId="38"/>
    <tableColumn id="2" xr3:uid="{67BE9AA3-71F2-4B26-B2F8-E1F8B28D224F}" name="Fuel  Liter" dataDxfId="35" totalsRowDxfId="36"/>
    <tableColumn id="3" xr3:uid="{78B96AD4-46D9-4024-B7BF-A7B9E1AB7F65}" name="Fuel Taka" dataDxfId="33" totalsRowDxfId="34" dataCellStyle="Comma"/>
    <tableColumn id="8" xr3:uid="{37076192-8A7F-460C-8865-18464087BFCD}" name="Total Run time _x000a_(if Minute)" dataDxfId="31" totalsRowDxfId="32" dataCellStyle="Comma">
      <calculatedColumnFormula>HOUR(E8)*60+MINUTE(E8)</calculatedColumnFormula>
    </tableColumn>
    <tableColumn id="4" xr3:uid="{BA8EFA82-70F3-4FC6-9295-B289D7EE7FA6}" name="Total Run time _x000a_(if Hour:Minute)" dataDxfId="29" totalsRowDxfId="30"/>
    <tableColumn id="5" xr3:uid="{6CEE34E7-C1EC-4FEB-BC5E-EF2553EFC7C6}" name="Fuel Consup. Per Hour (Liter)" dataDxfId="27" totalsRowDxfId="28" dataCellStyle="Comma">
      <calculatedColumnFormula>IFERROR(Table4445[[#This Row],[Fuel  Liter]]/(Table4445[[#This Row],[Total Run time 
(if Minute)]]/60),0)</calculatedColumnFormula>
    </tableColumn>
    <tableColumn id="6" xr3:uid="{690B48A1-B6FE-476B-B326-D422F61774B5}" name="Fuel Consup. Per Hour (Taka)" dataDxfId="25" totalsRowDxfId="26" dataCellStyle="Comma">
      <calculatedColumnFormula>IFERROR(Table4445[[#This Row],[Fuel Taka]]/(Table4445[[#This Row],[Total Run time 
(if Minute)]]/60),0)</calculatedColumnFormula>
    </tableColumn>
    <tableColumn id="7" xr3:uid="{CEF671EC-3B46-40D7-BEF9-88F3B984588E}" name="Comments" dataDxfId="23" totalsRowDxfId="24" dataCellStyle="Comma">
      <calculatedColumnFormula>Table4445[[#This Row],[Fuel Consup. Per Hour (Liter)]]*125</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3C16BAC-EE93-4DE9-9B61-CB383C6C2D01}" name="Table44458" displayName="Table44458" ref="A7:H20" totalsRowShown="0" headerRowDxfId="22" dataDxfId="21" totalsRowDxfId="20" headerRowBorderDxfId="18" tableBorderDxfId="19" totalsRowBorderDxfId="17">
  <tableColumns count="8">
    <tableColumn id="1" xr3:uid="{CE851972-33F7-42DF-987A-4C298256A5F2}" name="Month" dataDxfId="15" totalsRowDxfId="16"/>
    <tableColumn id="2" xr3:uid="{2C8350DF-E572-4B0E-8740-585CCFBDC27A}" name="Fuel  Liter" dataDxfId="13" totalsRowDxfId="14"/>
    <tableColumn id="3" xr3:uid="{42B8B909-921E-49C2-8A9C-E5D49CE76AFA}" name="Fuel Taka" dataDxfId="11" totalsRowDxfId="12" dataCellStyle="Comma"/>
    <tableColumn id="8" xr3:uid="{FAF1B409-1D1D-466B-8F92-75799668B0C9}" name="Total Run time _x000a_(if Minute)" dataDxfId="9" totalsRowDxfId="10" dataCellStyle="Comma">
      <calculatedColumnFormula>HOUR(E8)*60+MINUTE(E8)</calculatedColumnFormula>
    </tableColumn>
    <tableColumn id="4" xr3:uid="{513C3AB5-B68E-4280-BF97-70F1E33B6BA3}" name="Total Run time _x000a_(if Hour:Minute)" dataDxfId="7" totalsRowDxfId="8"/>
    <tableColumn id="5" xr3:uid="{4C706209-8206-4996-93CF-4D70E4E8FD53}" name="Fuel Consup. Per Hour (Liter)" dataDxfId="5" totalsRowDxfId="6" dataCellStyle="Comma">
      <calculatedColumnFormula>IFERROR(Table44458[[#This Row],[Fuel  Liter]]/(Table44458[[#This Row],[Total Run time 
(if Minute)]]/60),0)</calculatedColumnFormula>
    </tableColumn>
    <tableColumn id="6" xr3:uid="{3AD98F27-83DF-43BA-BA6A-C5A881ACE411}" name="Fuel Consup. Per Hour (Taka)" dataDxfId="3" totalsRowDxfId="4" dataCellStyle="Comma">
      <calculatedColumnFormula>IFERROR(Table44458[[#This Row],[Fuel Taka]]/(Table44458[[#This Row],[Total Run time 
(if Minute)]]/60),0)</calculatedColumnFormula>
    </tableColumn>
    <tableColumn id="7" xr3:uid="{089B7EF6-7054-4A9F-8324-FF1D41E62719}" name="Comments" dataDxfId="1" totalsRowDxfId="2" dataCellStyle="Comma">
      <calculatedColumnFormula>Table44458[[#This Row],[Fuel Consup. Per Hour (Liter)]]*125</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3000000}" name="Table1" displayName="Table1" ref="A6:J19" totalsRowShown="0" headerRowDxfId="83" dataDxfId="81" headerRowBorderDxfId="82" tableBorderDxfId="80" totalsRowBorderDxfId="79" dataCellStyle="Comma">
  <tableColumns count="10">
    <tableColumn id="1" xr3:uid="{00000000-0010-0000-0300-000001000000}" name="Month" dataDxfId="78"/>
    <tableColumn id="2" xr3:uid="{00000000-0010-0000-0300-000002000000}" name="PCS" dataDxfId="77" dataCellStyle="Comma"/>
    <tableColumn id="3" xr3:uid="{00000000-0010-0000-0300-000003000000}" name="Rate" dataDxfId="76" dataCellStyle="Comma">
      <calculatedColumnFormula>IFERROR(Table1[[#This Row],[Total Taka]]/Table1[[#This Row],[PCS]],0)</calculatedColumnFormula>
    </tableColumn>
    <tableColumn id="4" xr3:uid="{00000000-0010-0000-0300-000004000000}" name="Total Taka" dataDxfId="75" dataCellStyle="Comma"/>
    <tableColumn id="5" xr3:uid="{00000000-0010-0000-0300-000005000000}" name="FG (Human)" dataDxfId="74" dataCellStyle="Comma"/>
    <tableColumn id="6" xr3:uid="{00000000-0010-0000-0300-000006000000}" name="FG (Vet)" dataDxfId="73" dataCellStyle="Comma"/>
    <tableColumn id="10" xr3:uid="{B7722195-CBD1-473D-B07E-4D8DCE8F3DCB}" name="Sample (HU)" dataDxfId="72" dataCellStyle="Comma"/>
    <tableColumn id="7" xr3:uid="{00000000-0010-0000-0300-000007000000}" name="Sample (vet)" dataDxfId="71" dataCellStyle="Comma"/>
    <tableColumn id="8" xr3:uid="{00000000-0010-0000-0300-000008000000}" name="Total Invoice" dataDxfId="70" dataCellStyle="Comma">
      <calculatedColumnFormula>SUM(Table1[[#This Row],[FG (Human)]:[Sample (vet)]])</calculatedColumnFormula>
    </tableColumn>
    <tableColumn id="9" xr3:uid="{00000000-0010-0000-0300-000009000000}" name="per invoice Tk." dataDxfId="69" dataCellStyle="Comma">
      <calculatedColumnFormula>IFERROR(Table1[[#This Row],[Total Taka]]/Table1[[#This Row],[Total Invoice]],0)</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B995D9C-061D-437E-97EA-A869746D2C64}" name="Table16" displayName="Table16" ref="A6:J19" totalsRowShown="0" headerRowDxfId="59" dataDxfId="58" headerRowBorderDxfId="56" tableBorderDxfId="57" totalsRowBorderDxfId="55" dataCellStyle="Comma">
  <tableColumns count="10">
    <tableColumn id="1" xr3:uid="{2E59B3F9-7A19-4030-BA90-8858AAE47F14}" name="Month" dataDxfId="54"/>
    <tableColumn id="2" xr3:uid="{5E1E50B0-4A37-45A8-A145-AB70431AACF9}" name="PCS" dataDxfId="53" dataCellStyle="Comma"/>
    <tableColumn id="3" xr3:uid="{88B74317-3B63-4085-BEA1-0D1F94E69D1B}" name="Rate" dataDxfId="52" dataCellStyle="Comma">
      <calculatedColumnFormula>IFERROR(Table16[[#This Row],[Total Taka]]/Table16[[#This Row],[PCS]],0)</calculatedColumnFormula>
    </tableColumn>
    <tableColumn id="4" xr3:uid="{DF978303-F0A4-4C01-BB56-96C2E3EC5AAC}" name="Total Taka" dataDxfId="51" dataCellStyle="Comma"/>
    <tableColumn id="5" xr3:uid="{135AE4F4-61E5-4B18-AB57-18F00A661855}" name="FG (Human)" dataDxfId="50" dataCellStyle="Comma"/>
    <tableColumn id="6" xr3:uid="{EC3C69AE-88FB-4971-AF98-74AC73346011}" name="FG (Vet)" dataDxfId="49" dataCellStyle="Comma"/>
    <tableColumn id="10" xr3:uid="{0DB088F6-7E9D-4161-9552-8B8F871E2895}" name="Sample (HU)" dataDxfId="48" dataCellStyle="Comma"/>
    <tableColumn id="7" xr3:uid="{8BF4C08A-5A1C-4CD2-B7D9-1A5C263884EA}" name="Sample (vet)" dataDxfId="47" dataCellStyle="Comma"/>
    <tableColumn id="8" xr3:uid="{E1FBD22C-5794-4C44-B179-A69C7A5F19C8}" name="Total Invoice" dataDxfId="46" dataCellStyle="Comma">
      <calculatedColumnFormula>SUM(Table16[[#This Row],[FG (Human)]:[Sample (vet)]])</calculatedColumnFormula>
    </tableColumn>
    <tableColumn id="9" xr3:uid="{5C208FD8-A943-46A1-802B-27C6C1CBE4BD}" name="per invoice Tk." dataDxfId="45" dataCellStyle="Comma">
      <calculatedColumnFormula>IFERROR(Table16[[#This Row],[Total Taka]]/Table16[[#This Row],[Total Invoice]],0)</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5000000}" name="Table9" displayName="Table9" ref="A5:D18" totalsRowShown="0" headerRowDxfId="68" dataDxfId="66" headerRowBorderDxfId="67" tableBorderDxfId="65" totalsRowBorderDxfId="64">
  <tableColumns count="4">
    <tableColumn id="1" xr3:uid="{00000000-0010-0000-0500-000001000000}" name="Months" dataDxfId="63"/>
    <tableColumn id="2" xr3:uid="{00000000-0010-0000-0500-000002000000}" name="Date Expired _x000a_Taka" dataDxfId="62" dataCellStyle="Comma"/>
    <tableColumn id="3" xr3:uid="{00000000-0010-0000-0500-000003000000}" name="Replace bill _x000a_Taka" dataDxfId="61" dataCellStyle="Comma"/>
    <tableColumn id="4" xr3:uid="{00000000-0010-0000-0500-000004000000}" name="Difference _x000a_Taka" dataDxfId="60" dataCellStyle="Comma"/>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openxmlformats.org/officeDocument/2006/relationships/comments" Target="../comments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6.v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7.v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1"/>
  <sheetViews>
    <sheetView view="pageBreakPreview" zoomScaleNormal="100" zoomScaleSheetLayoutView="100" workbookViewId="0">
      <selection activeCell="B15" sqref="B15"/>
    </sheetView>
  </sheetViews>
  <sheetFormatPr defaultRowHeight="14.25" x14ac:dyDescent="0.2"/>
  <cols>
    <col min="1" max="1" width="10" style="19" customWidth="1"/>
    <col min="2" max="2" width="10.7109375" style="19" customWidth="1"/>
    <col min="3" max="3" width="8.5703125" style="19" customWidth="1"/>
    <col min="4" max="6" width="15.140625" style="19" customWidth="1"/>
    <col min="7" max="7" width="19.85546875" style="19" customWidth="1"/>
    <col min="8" max="16384" width="9.140625" style="19"/>
  </cols>
  <sheetData>
    <row r="1" spans="1:7" ht="15.75" x14ac:dyDescent="0.2">
      <c r="A1" s="96" t="s">
        <v>37</v>
      </c>
      <c r="B1" s="96"/>
      <c r="C1" s="96"/>
      <c r="D1" s="96"/>
      <c r="E1" s="96"/>
      <c r="F1" s="96"/>
      <c r="G1" s="96"/>
    </row>
    <row r="2" spans="1:7" ht="15.75" x14ac:dyDescent="0.2">
      <c r="A2" s="97" t="s">
        <v>16</v>
      </c>
      <c r="B2" s="97"/>
      <c r="C2" s="97"/>
      <c r="D2" s="97"/>
      <c r="E2" s="97"/>
      <c r="F2" s="97"/>
      <c r="G2" s="97"/>
    </row>
    <row r="3" spans="1:7" x14ac:dyDescent="0.2">
      <c r="A3" s="98" t="str">
        <f ca="1">"From "&amp;TEXT(A5,"MMM-YY")&amp;" to "&amp;TEXT(INDIRECT("A"&amp;COUNTA(A5:A16)+4),"MMM-YY")</f>
        <v>From Jan-25 to Dec-25</v>
      </c>
      <c r="B3" s="98"/>
      <c r="C3" s="98"/>
      <c r="D3" s="98"/>
      <c r="E3" s="98"/>
      <c r="F3" s="98"/>
      <c r="G3" s="98"/>
    </row>
    <row r="4" spans="1:7" s="20" customFormat="1" ht="27" customHeight="1" x14ac:dyDescent="0.2">
      <c r="A4" s="24" t="s">
        <v>1</v>
      </c>
      <c r="B4" s="40" t="s">
        <v>28</v>
      </c>
      <c r="C4" s="25" t="s">
        <v>33</v>
      </c>
      <c r="D4" s="40" t="s">
        <v>29</v>
      </c>
      <c r="E4" s="40" t="s">
        <v>30</v>
      </c>
      <c r="F4" s="26" t="s">
        <v>5</v>
      </c>
      <c r="G4" s="27" t="s">
        <v>12</v>
      </c>
    </row>
    <row r="5" spans="1:7" x14ac:dyDescent="0.2">
      <c r="A5" s="28">
        <v>45658</v>
      </c>
      <c r="B5" s="29"/>
      <c r="C5" s="30" t="str">
        <f>IFERROR(Table8[[#This Row],[Carton
Taka]]/Table8[[#This Row],[Carton
KG]],"")</f>
        <v/>
      </c>
      <c r="D5" s="31"/>
      <c r="E5" s="31"/>
      <c r="F5" s="32">
        <f>Table8[[#This Row],[Carton
Taka]]+Table8[[#This Row],[ Others Sales
Taka]]</f>
        <v>0</v>
      </c>
      <c r="G5" s="33"/>
    </row>
    <row r="6" spans="1:7" x14ac:dyDescent="0.2">
      <c r="A6" s="28">
        <v>45689</v>
      </c>
      <c r="B6" s="29"/>
      <c r="C6" s="30" t="str">
        <f>IFERROR(Table8[[#This Row],[Carton
Taka]]/Table8[[#This Row],[Carton
KG]],"")</f>
        <v/>
      </c>
      <c r="D6" s="31"/>
      <c r="E6" s="31"/>
      <c r="F6" s="32">
        <f>Table8[[#This Row],[Carton
Taka]]+Table8[[#This Row],[ Others Sales
Taka]]</f>
        <v>0</v>
      </c>
      <c r="G6" s="33"/>
    </row>
    <row r="7" spans="1:7" x14ac:dyDescent="0.2">
      <c r="A7" s="28">
        <v>45717</v>
      </c>
      <c r="B7" s="29"/>
      <c r="C7" s="30" t="str">
        <f>IFERROR(Table8[[#This Row],[Carton
Taka]]/Table8[[#This Row],[Carton
KG]],"")</f>
        <v/>
      </c>
      <c r="D7" s="31"/>
      <c r="E7" s="31"/>
      <c r="F7" s="34">
        <f>Table8[[#This Row],[Carton
Taka]]+Table8[[#This Row],[ Others Sales
Taka]]</f>
        <v>0</v>
      </c>
      <c r="G7" s="35"/>
    </row>
    <row r="8" spans="1:7" x14ac:dyDescent="0.2">
      <c r="A8" s="28">
        <v>45748</v>
      </c>
      <c r="B8" s="29"/>
      <c r="C8" s="30" t="str">
        <f>IFERROR(Table8[[#This Row],[Carton
Taka]]/Table8[[#This Row],[Carton
KG]],"")</f>
        <v/>
      </c>
      <c r="D8" s="31"/>
      <c r="E8" s="31"/>
      <c r="F8" s="34">
        <f>Table8[[#This Row],[Carton
Taka]]+Table8[[#This Row],[ Others Sales
Taka]]</f>
        <v>0</v>
      </c>
      <c r="G8" s="35"/>
    </row>
    <row r="9" spans="1:7" x14ac:dyDescent="0.2">
      <c r="A9" s="28">
        <v>45778</v>
      </c>
      <c r="B9" s="29"/>
      <c r="C9" s="30" t="str">
        <f>IFERROR(Table8[[#This Row],[Carton
Taka]]/Table8[[#This Row],[Carton
KG]],"")</f>
        <v/>
      </c>
      <c r="D9" s="31"/>
      <c r="E9" s="31"/>
      <c r="F9" s="34">
        <f>Table8[[#This Row],[Carton
Taka]]+Table8[[#This Row],[ Others Sales
Taka]]</f>
        <v>0</v>
      </c>
      <c r="G9" s="35"/>
    </row>
    <row r="10" spans="1:7" x14ac:dyDescent="0.2">
      <c r="A10" s="28">
        <v>45809</v>
      </c>
      <c r="B10" s="29"/>
      <c r="C10" s="30" t="str">
        <f>IFERROR(Table8[[#This Row],[Carton
Taka]]/Table8[[#This Row],[Carton
KG]],"")</f>
        <v/>
      </c>
      <c r="D10" s="31"/>
      <c r="E10" s="31"/>
      <c r="F10" s="34">
        <f>Table8[[#This Row],[Carton
Taka]]+Table8[[#This Row],[ Others Sales
Taka]]</f>
        <v>0</v>
      </c>
      <c r="G10" s="35"/>
    </row>
    <row r="11" spans="1:7" x14ac:dyDescent="0.2">
      <c r="A11" s="28">
        <v>45839</v>
      </c>
      <c r="B11" s="29"/>
      <c r="C11" s="30" t="str">
        <f>IFERROR(Table8[[#This Row],[Carton
Taka]]/Table8[[#This Row],[Carton
KG]],"")</f>
        <v/>
      </c>
      <c r="D11" s="31"/>
      <c r="E11" s="31"/>
      <c r="F11" s="34">
        <f>Table8[[#This Row],[Carton
Taka]]+Table8[[#This Row],[ Others Sales
Taka]]</f>
        <v>0</v>
      </c>
      <c r="G11" s="35"/>
    </row>
    <row r="12" spans="1:7" x14ac:dyDescent="0.2">
      <c r="A12" s="28">
        <v>45870</v>
      </c>
      <c r="B12" s="29"/>
      <c r="C12" s="30" t="str">
        <f>IFERROR(Table8[[#This Row],[Carton
Taka]]/Table8[[#This Row],[Carton
KG]],"")</f>
        <v/>
      </c>
      <c r="D12" s="31"/>
      <c r="E12" s="31"/>
      <c r="F12" s="34">
        <f>Table8[[#This Row],[Carton
Taka]]+Table8[[#This Row],[ Others Sales
Taka]]</f>
        <v>0</v>
      </c>
      <c r="G12" s="35"/>
    </row>
    <row r="13" spans="1:7" x14ac:dyDescent="0.2">
      <c r="A13" s="28">
        <v>45901</v>
      </c>
      <c r="B13" s="29"/>
      <c r="C13" s="30" t="str">
        <f>IFERROR(Table8[[#This Row],[Carton
Taka]]/Table8[[#This Row],[Carton
KG]],"")</f>
        <v/>
      </c>
      <c r="D13" s="31"/>
      <c r="E13" s="31"/>
      <c r="F13" s="34">
        <f>Table8[[#This Row],[Carton
Taka]]+Table8[[#This Row],[ Others Sales
Taka]]</f>
        <v>0</v>
      </c>
      <c r="G13" s="35"/>
    </row>
    <row r="14" spans="1:7" x14ac:dyDescent="0.2">
      <c r="A14" s="28">
        <v>45931</v>
      </c>
      <c r="B14" s="29"/>
      <c r="C14" s="30" t="str">
        <f>IFERROR(Table8[[#This Row],[Carton
Taka]]/Table8[[#This Row],[Carton
KG]],"")</f>
        <v/>
      </c>
      <c r="D14" s="31"/>
      <c r="E14" s="31"/>
      <c r="F14" s="34">
        <f>Table8[[#This Row],[Carton
Taka]]+Table8[[#This Row],[ Others Sales
Taka]]</f>
        <v>0</v>
      </c>
      <c r="G14" s="35"/>
    </row>
    <row r="15" spans="1:7" x14ac:dyDescent="0.2">
      <c r="A15" s="28">
        <v>45962</v>
      </c>
      <c r="B15" s="29"/>
      <c r="C15" s="30" t="str">
        <f>IFERROR(Table8[[#This Row],[Carton
Taka]]/Table8[[#This Row],[Carton
KG]],"")</f>
        <v/>
      </c>
      <c r="D15" s="31"/>
      <c r="E15" s="31"/>
      <c r="F15" s="34">
        <f>Table8[[#This Row],[Carton
Taka]]+Table8[[#This Row],[ Others Sales
Taka]]</f>
        <v>0</v>
      </c>
      <c r="G15" s="35"/>
    </row>
    <row r="16" spans="1:7" x14ac:dyDescent="0.2">
      <c r="A16" s="28">
        <v>45992</v>
      </c>
      <c r="B16" s="29"/>
      <c r="C16" s="30" t="str">
        <f>IFERROR(Table8[[#This Row],[Carton
Taka]]/Table8[[#This Row],[Carton
KG]],"")</f>
        <v/>
      </c>
      <c r="D16" s="31"/>
      <c r="E16" s="31"/>
      <c r="F16" s="34">
        <f>Table8[[#This Row],[Carton
Taka]]+Table8[[#This Row],[ Others Sales
Taka]]</f>
        <v>0</v>
      </c>
      <c r="G16" s="35"/>
    </row>
    <row r="17" spans="1:7" ht="15" x14ac:dyDescent="0.2">
      <c r="A17" s="36" t="s">
        <v>6</v>
      </c>
      <c r="B17" s="37">
        <f>SUM(B5:B16)</f>
        <v>0</v>
      </c>
      <c r="C17" s="38" t="str">
        <f>IFERROR(Table8[[#This Row],[Carton
Taka]]/Table8[[#This Row],[Carton
KG]],"")</f>
        <v/>
      </c>
      <c r="D17" s="38">
        <f t="shared" ref="D17:F17" si="0">SUM(D5:D16)</f>
        <v>0</v>
      </c>
      <c r="E17" s="38">
        <f t="shared" si="0"/>
        <v>0</v>
      </c>
      <c r="F17" s="38">
        <f t="shared" si="0"/>
        <v>0</v>
      </c>
      <c r="G17" s="39" t="s">
        <v>13</v>
      </c>
    </row>
    <row r="18" spans="1:7" ht="11.25" customHeight="1" x14ac:dyDescent="0.2">
      <c r="A18" s="21" t="str">
        <f>"Sajib"&amp;CHAR(169)</f>
        <v>Sajib©</v>
      </c>
    </row>
    <row r="19" spans="1:7" ht="15" x14ac:dyDescent="0.25">
      <c r="A19" s="22" t="s">
        <v>35</v>
      </c>
      <c r="B19" s="23">
        <f>B17/COUNT(A5:A16)</f>
        <v>0</v>
      </c>
    </row>
    <row r="20" spans="1:7" s="22" customFormat="1" ht="12.75" x14ac:dyDescent="0.2">
      <c r="A20" s="22" t="s">
        <v>31</v>
      </c>
    </row>
    <row r="21" spans="1:7" s="22" customFormat="1" ht="12.75" x14ac:dyDescent="0.2">
      <c r="A21" s="22" t="s">
        <v>32</v>
      </c>
    </row>
  </sheetData>
  <sheetProtection password="CEDB" sheet="1" objects="1" scenarios="1"/>
  <mergeCells count="3">
    <mergeCell ref="A1:G1"/>
    <mergeCell ref="A2:G2"/>
    <mergeCell ref="A3:G3"/>
  </mergeCells>
  <pageMargins left="1.75" right="0.95" top="1" bottom="1" header="0" footer="0"/>
  <pageSetup paperSize="9" orientation="landscape" horizontalDpi="1200" verticalDpi="1200"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AC5BB-388F-4665-B5EA-AB2215AEA98A}">
  <dimension ref="A1:J24"/>
  <sheetViews>
    <sheetView view="pageBreakPreview" topLeftCell="A16" zoomScaleNormal="100" zoomScaleSheetLayoutView="100" workbookViewId="0">
      <selection activeCell="F21" sqref="F21"/>
    </sheetView>
  </sheetViews>
  <sheetFormatPr defaultRowHeight="14.25" x14ac:dyDescent="0.25"/>
  <cols>
    <col min="1" max="1" width="11" style="3" customWidth="1"/>
    <col min="2" max="2" width="10.140625" style="3" bestFit="1" customWidth="1"/>
    <col min="3" max="3" width="11.5703125" style="3" bestFit="1" customWidth="1"/>
    <col min="4" max="4" width="16" style="3" customWidth="1"/>
    <col min="5" max="5" width="19.42578125" style="3" customWidth="1"/>
    <col min="6" max="6" width="16.7109375" style="3" customWidth="1"/>
    <col min="7" max="7" width="15.85546875" style="3" customWidth="1"/>
    <col min="8" max="8" width="20" style="3" customWidth="1"/>
    <col min="9" max="257" width="9.140625" style="3"/>
    <col min="258" max="258" width="13.7109375" style="3" customWidth="1"/>
    <col min="259" max="259" width="11" style="3" bestFit="1" customWidth="1"/>
    <col min="260" max="260" width="16" style="3" bestFit="1" customWidth="1"/>
    <col min="261" max="261" width="16.140625" style="3" bestFit="1" customWidth="1"/>
    <col min="262" max="263" width="14.5703125" style="3" customWidth="1"/>
    <col min="264" max="264" width="19.28515625" style="3" customWidth="1"/>
    <col min="265" max="513" width="9.140625" style="3"/>
    <col min="514" max="514" width="13.7109375" style="3" customWidth="1"/>
    <col min="515" max="515" width="11" style="3" bestFit="1" customWidth="1"/>
    <col min="516" max="516" width="16" style="3" bestFit="1" customWidth="1"/>
    <col min="517" max="517" width="16.140625" style="3" bestFit="1" customWidth="1"/>
    <col min="518" max="519" width="14.5703125" style="3" customWidth="1"/>
    <col min="520" max="520" width="19.28515625" style="3" customWidth="1"/>
    <col min="521" max="769" width="9.140625" style="3"/>
    <col min="770" max="770" width="13.7109375" style="3" customWidth="1"/>
    <col min="771" max="771" width="11" style="3" bestFit="1" customWidth="1"/>
    <col min="772" max="772" width="16" style="3" bestFit="1" customWidth="1"/>
    <col min="773" max="773" width="16.140625" style="3" bestFit="1" customWidth="1"/>
    <col min="774" max="775" width="14.5703125" style="3" customWidth="1"/>
    <col min="776" max="776" width="19.28515625" style="3" customWidth="1"/>
    <col min="777" max="1025" width="9.140625" style="3"/>
    <col min="1026" max="1026" width="13.7109375" style="3" customWidth="1"/>
    <col min="1027" max="1027" width="11" style="3" bestFit="1" customWidth="1"/>
    <col min="1028" max="1028" width="16" style="3" bestFit="1" customWidth="1"/>
    <col min="1029" max="1029" width="16.140625" style="3" bestFit="1" customWidth="1"/>
    <col min="1030" max="1031" width="14.5703125" style="3" customWidth="1"/>
    <col min="1032" max="1032" width="19.28515625" style="3" customWidth="1"/>
    <col min="1033" max="1281" width="9.140625" style="3"/>
    <col min="1282" max="1282" width="13.7109375" style="3" customWidth="1"/>
    <col min="1283" max="1283" width="11" style="3" bestFit="1" customWidth="1"/>
    <col min="1284" max="1284" width="16" style="3" bestFit="1" customWidth="1"/>
    <col min="1285" max="1285" width="16.140625" style="3" bestFit="1" customWidth="1"/>
    <col min="1286" max="1287" width="14.5703125" style="3" customWidth="1"/>
    <col min="1288" max="1288" width="19.28515625" style="3" customWidth="1"/>
    <col min="1289" max="1537" width="9.140625" style="3"/>
    <col min="1538" max="1538" width="13.7109375" style="3" customWidth="1"/>
    <col min="1539" max="1539" width="11" style="3" bestFit="1" customWidth="1"/>
    <col min="1540" max="1540" width="16" style="3" bestFit="1" customWidth="1"/>
    <col min="1541" max="1541" width="16.140625" style="3" bestFit="1" customWidth="1"/>
    <col min="1542" max="1543" width="14.5703125" style="3" customWidth="1"/>
    <col min="1544" max="1544" width="19.28515625" style="3" customWidth="1"/>
    <col min="1545" max="1793" width="9.140625" style="3"/>
    <col min="1794" max="1794" width="13.7109375" style="3" customWidth="1"/>
    <col min="1795" max="1795" width="11" style="3" bestFit="1" customWidth="1"/>
    <col min="1796" max="1796" width="16" style="3" bestFit="1" customWidth="1"/>
    <col min="1797" max="1797" width="16.140625" style="3" bestFit="1" customWidth="1"/>
    <col min="1798" max="1799" width="14.5703125" style="3" customWidth="1"/>
    <col min="1800" max="1800" width="19.28515625" style="3" customWidth="1"/>
    <col min="1801" max="2049" width="9.140625" style="3"/>
    <col min="2050" max="2050" width="13.7109375" style="3" customWidth="1"/>
    <col min="2051" max="2051" width="11" style="3" bestFit="1" customWidth="1"/>
    <col min="2052" max="2052" width="16" style="3" bestFit="1" customWidth="1"/>
    <col min="2053" max="2053" width="16.140625" style="3" bestFit="1" customWidth="1"/>
    <col min="2054" max="2055" width="14.5703125" style="3" customWidth="1"/>
    <col min="2056" max="2056" width="19.28515625" style="3" customWidth="1"/>
    <col min="2057" max="2305" width="9.140625" style="3"/>
    <col min="2306" max="2306" width="13.7109375" style="3" customWidth="1"/>
    <col min="2307" max="2307" width="11" style="3" bestFit="1" customWidth="1"/>
    <col min="2308" max="2308" width="16" style="3" bestFit="1" customWidth="1"/>
    <col min="2309" max="2309" width="16.140625" style="3" bestFit="1" customWidth="1"/>
    <col min="2310" max="2311" width="14.5703125" style="3" customWidth="1"/>
    <col min="2312" max="2312" width="19.28515625" style="3" customWidth="1"/>
    <col min="2313" max="2561" width="9.140625" style="3"/>
    <col min="2562" max="2562" width="13.7109375" style="3" customWidth="1"/>
    <col min="2563" max="2563" width="11" style="3" bestFit="1" customWidth="1"/>
    <col min="2564" max="2564" width="16" style="3" bestFit="1" customWidth="1"/>
    <col min="2565" max="2565" width="16.140625" style="3" bestFit="1" customWidth="1"/>
    <col min="2566" max="2567" width="14.5703125" style="3" customWidth="1"/>
    <col min="2568" max="2568" width="19.28515625" style="3" customWidth="1"/>
    <col min="2569" max="2817" width="9.140625" style="3"/>
    <col min="2818" max="2818" width="13.7109375" style="3" customWidth="1"/>
    <col min="2819" max="2819" width="11" style="3" bestFit="1" customWidth="1"/>
    <col min="2820" max="2820" width="16" style="3" bestFit="1" customWidth="1"/>
    <col min="2821" max="2821" width="16.140625" style="3" bestFit="1" customWidth="1"/>
    <col min="2822" max="2823" width="14.5703125" style="3" customWidth="1"/>
    <col min="2824" max="2824" width="19.28515625" style="3" customWidth="1"/>
    <col min="2825" max="3073" width="9.140625" style="3"/>
    <col min="3074" max="3074" width="13.7109375" style="3" customWidth="1"/>
    <col min="3075" max="3075" width="11" style="3" bestFit="1" customWidth="1"/>
    <col min="3076" max="3076" width="16" style="3" bestFit="1" customWidth="1"/>
    <col min="3077" max="3077" width="16.140625" style="3" bestFit="1" customWidth="1"/>
    <col min="3078" max="3079" width="14.5703125" style="3" customWidth="1"/>
    <col min="3080" max="3080" width="19.28515625" style="3" customWidth="1"/>
    <col min="3081" max="3329" width="9.140625" style="3"/>
    <col min="3330" max="3330" width="13.7109375" style="3" customWidth="1"/>
    <col min="3331" max="3331" width="11" style="3" bestFit="1" customWidth="1"/>
    <col min="3332" max="3332" width="16" style="3" bestFit="1" customWidth="1"/>
    <col min="3333" max="3333" width="16.140625" style="3" bestFit="1" customWidth="1"/>
    <col min="3334" max="3335" width="14.5703125" style="3" customWidth="1"/>
    <col min="3336" max="3336" width="19.28515625" style="3" customWidth="1"/>
    <col min="3337" max="3585" width="9.140625" style="3"/>
    <col min="3586" max="3586" width="13.7109375" style="3" customWidth="1"/>
    <col min="3587" max="3587" width="11" style="3" bestFit="1" customWidth="1"/>
    <col min="3588" max="3588" width="16" style="3" bestFit="1" customWidth="1"/>
    <col min="3589" max="3589" width="16.140625" style="3" bestFit="1" customWidth="1"/>
    <col min="3590" max="3591" width="14.5703125" style="3" customWidth="1"/>
    <col min="3592" max="3592" width="19.28515625" style="3" customWidth="1"/>
    <col min="3593" max="3841" width="9.140625" style="3"/>
    <col min="3842" max="3842" width="13.7109375" style="3" customWidth="1"/>
    <col min="3843" max="3843" width="11" style="3" bestFit="1" customWidth="1"/>
    <col min="3844" max="3844" width="16" style="3" bestFit="1" customWidth="1"/>
    <col min="3845" max="3845" width="16.140625" style="3" bestFit="1" customWidth="1"/>
    <col min="3846" max="3847" width="14.5703125" style="3" customWidth="1"/>
    <col min="3848" max="3848" width="19.28515625" style="3" customWidth="1"/>
    <col min="3849" max="4097" width="9.140625" style="3"/>
    <col min="4098" max="4098" width="13.7109375" style="3" customWidth="1"/>
    <col min="4099" max="4099" width="11" style="3" bestFit="1" customWidth="1"/>
    <col min="4100" max="4100" width="16" style="3" bestFit="1" customWidth="1"/>
    <col min="4101" max="4101" width="16.140625" style="3" bestFit="1" customWidth="1"/>
    <col min="4102" max="4103" width="14.5703125" style="3" customWidth="1"/>
    <col min="4104" max="4104" width="19.28515625" style="3" customWidth="1"/>
    <col min="4105" max="4353" width="9.140625" style="3"/>
    <col min="4354" max="4354" width="13.7109375" style="3" customWidth="1"/>
    <col min="4355" max="4355" width="11" style="3" bestFit="1" customWidth="1"/>
    <col min="4356" max="4356" width="16" style="3" bestFit="1" customWidth="1"/>
    <col min="4357" max="4357" width="16.140625" style="3" bestFit="1" customWidth="1"/>
    <col min="4358" max="4359" width="14.5703125" style="3" customWidth="1"/>
    <col min="4360" max="4360" width="19.28515625" style="3" customWidth="1"/>
    <col min="4361" max="4609" width="9.140625" style="3"/>
    <col min="4610" max="4610" width="13.7109375" style="3" customWidth="1"/>
    <col min="4611" max="4611" width="11" style="3" bestFit="1" customWidth="1"/>
    <col min="4612" max="4612" width="16" style="3" bestFit="1" customWidth="1"/>
    <col min="4613" max="4613" width="16.140625" style="3" bestFit="1" customWidth="1"/>
    <col min="4614" max="4615" width="14.5703125" style="3" customWidth="1"/>
    <col min="4616" max="4616" width="19.28515625" style="3" customWidth="1"/>
    <col min="4617" max="4865" width="9.140625" style="3"/>
    <col min="4866" max="4866" width="13.7109375" style="3" customWidth="1"/>
    <col min="4867" max="4867" width="11" style="3" bestFit="1" customWidth="1"/>
    <col min="4868" max="4868" width="16" style="3" bestFit="1" customWidth="1"/>
    <col min="4869" max="4869" width="16.140625" style="3" bestFit="1" customWidth="1"/>
    <col min="4870" max="4871" width="14.5703125" style="3" customWidth="1"/>
    <col min="4872" max="4872" width="19.28515625" style="3" customWidth="1"/>
    <col min="4873" max="5121" width="9.140625" style="3"/>
    <col min="5122" max="5122" width="13.7109375" style="3" customWidth="1"/>
    <col min="5123" max="5123" width="11" style="3" bestFit="1" customWidth="1"/>
    <col min="5124" max="5124" width="16" style="3" bestFit="1" customWidth="1"/>
    <col min="5125" max="5125" width="16.140625" style="3" bestFit="1" customWidth="1"/>
    <col min="5126" max="5127" width="14.5703125" style="3" customWidth="1"/>
    <col min="5128" max="5128" width="19.28515625" style="3" customWidth="1"/>
    <col min="5129" max="5377" width="9.140625" style="3"/>
    <col min="5378" max="5378" width="13.7109375" style="3" customWidth="1"/>
    <col min="5379" max="5379" width="11" style="3" bestFit="1" customWidth="1"/>
    <col min="5380" max="5380" width="16" style="3" bestFit="1" customWidth="1"/>
    <col min="5381" max="5381" width="16.140625" style="3" bestFit="1" customWidth="1"/>
    <col min="5382" max="5383" width="14.5703125" style="3" customWidth="1"/>
    <col min="5384" max="5384" width="19.28515625" style="3" customWidth="1"/>
    <col min="5385" max="5633" width="9.140625" style="3"/>
    <col min="5634" max="5634" width="13.7109375" style="3" customWidth="1"/>
    <col min="5635" max="5635" width="11" style="3" bestFit="1" customWidth="1"/>
    <col min="5636" max="5636" width="16" style="3" bestFit="1" customWidth="1"/>
    <col min="5637" max="5637" width="16.140625" style="3" bestFit="1" customWidth="1"/>
    <col min="5638" max="5639" width="14.5703125" style="3" customWidth="1"/>
    <col min="5640" max="5640" width="19.28515625" style="3" customWidth="1"/>
    <col min="5641" max="5889" width="9.140625" style="3"/>
    <col min="5890" max="5890" width="13.7109375" style="3" customWidth="1"/>
    <col min="5891" max="5891" width="11" style="3" bestFit="1" customWidth="1"/>
    <col min="5892" max="5892" width="16" style="3" bestFit="1" customWidth="1"/>
    <col min="5893" max="5893" width="16.140625" style="3" bestFit="1" customWidth="1"/>
    <col min="5894" max="5895" width="14.5703125" style="3" customWidth="1"/>
    <col min="5896" max="5896" width="19.28515625" style="3" customWidth="1"/>
    <col min="5897" max="6145" width="9.140625" style="3"/>
    <col min="6146" max="6146" width="13.7109375" style="3" customWidth="1"/>
    <col min="6147" max="6147" width="11" style="3" bestFit="1" customWidth="1"/>
    <col min="6148" max="6148" width="16" style="3" bestFit="1" customWidth="1"/>
    <col min="6149" max="6149" width="16.140625" style="3" bestFit="1" customWidth="1"/>
    <col min="6150" max="6151" width="14.5703125" style="3" customWidth="1"/>
    <col min="6152" max="6152" width="19.28515625" style="3" customWidth="1"/>
    <col min="6153" max="6401" width="9.140625" style="3"/>
    <col min="6402" max="6402" width="13.7109375" style="3" customWidth="1"/>
    <col min="6403" max="6403" width="11" style="3" bestFit="1" customWidth="1"/>
    <col min="6404" max="6404" width="16" style="3" bestFit="1" customWidth="1"/>
    <col min="6405" max="6405" width="16.140625" style="3" bestFit="1" customWidth="1"/>
    <col min="6406" max="6407" width="14.5703125" style="3" customWidth="1"/>
    <col min="6408" max="6408" width="19.28515625" style="3" customWidth="1"/>
    <col min="6409" max="6657" width="9.140625" style="3"/>
    <col min="6658" max="6658" width="13.7109375" style="3" customWidth="1"/>
    <col min="6659" max="6659" width="11" style="3" bestFit="1" customWidth="1"/>
    <col min="6660" max="6660" width="16" style="3" bestFit="1" customWidth="1"/>
    <col min="6661" max="6661" width="16.140625" style="3" bestFit="1" customWidth="1"/>
    <col min="6662" max="6663" width="14.5703125" style="3" customWidth="1"/>
    <col min="6664" max="6664" width="19.28515625" style="3" customWidth="1"/>
    <col min="6665" max="6913" width="9.140625" style="3"/>
    <col min="6914" max="6914" width="13.7109375" style="3" customWidth="1"/>
    <col min="6915" max="6915" width="11" style="3" bestFit="1" customWidth="1"/>
    <col min="6916" max="6916" width="16" style="3" bestFit="1" customWidth="1"/>
    <col min="6917" max="6917" width="16.140625" style="3" bestFit="1" customWidth="1"/>
    <col min="6918" max="6919" width="14.5703125" style="3" customWidth="1"/>
    <col min="6920" max="6920" width="19.28515625" style="3" customWidth="1"/>
    <col min="6921" max="7169" width="9.140625" style="3"/>
    <col min="7170" max="7170" width="13.7109375" style="3" customWidth="1"/>
    <col min="7171" max="7171" width="11" style="3" bestFit="1" customWidth="1"/>
    <col min="7172" max="7172" width="16" style="3" bestFit="1" customWidth="1"/>
    <col min="7173" max="7173" width="16.140625" style="3" bestFit="1" customWidth="1"/>
    <col min="7174" max="7175" width="14.5703125" style="3" customWidth="1"/>
    <col min="7176" max="7176" width="19.28515625" style="3" customWidth="1"/>
    <col min="7177" max="7425" width="9.140625" style="3"/>
    <col min="7426" max="7426" width="13.7109375" style="3" customWidth="1"/>
    <col min="7427" max="7427" width="11" style="3" bestFit="1" customWidth="1"/>
    <col min="7428" max="7428" width="16" style="3" bestFit="1" customWidth="1"/>
    <col min="7429" max="7429" width="16.140625" style="3" bestFit="1" customWidth="1"/>
    <col min="7430" max="7431" width="14.5703125" style="3" customWidth="1"/>
    <col min="7432" max="7432" width="19.28515625" style="3" customWidth="1"/>
    <col min="7433" max="7681" width="9.140625" style="3"/>
    <col min="7682" max="7682" width="13.7109375" style="3" customWidth="1"/>
    <col min="7683" max="7683" width="11" style="3" bestFit="1" customWidth="1"/>
    <col min="7684" max="7684" width="16" style="3" bestFit="1" customWidth="1"/>
    <col min="7685" max="7685" width="16.140625" style="3" bestFit="1" customWidth="1"/>
    <col min="7686" max="7687" width="14.5703125" style="3" customWidth="1"/>
    <col min="7688" max="7688" width="19.28515625" style="3" customWidth="1"/>
    <col min="7689" max="7937" width="9.140625" style="3"/>
    <col min="7938" max="7938" width="13.7109375" style="3" customWidth="1"/>
    <col min="7939" max="7939" width="11" style="3" bestFit="1" customWidth="1"/>
    <col min="7940" max="7940" width="16" style="3" bestFit="1" customWidth="1"/>
    <col min="7941" max="7941" width="16.140625" style="3" bestFit="1" customWidth="1"/>
    <col min="7942" max="7943" width="14.5703125" style="3" customWidth="1"/>
    <col min="7944" max="7944" width="19.28515625" style="3" customWidth="1"/>
    <col min="7945" max="8193" width="9.140625" style="3"/>
    <col min="8194" max="8194" width="13.7109375" style="3" customWidth="1"/>
    <col min="8195" max="8195" width="11" style="3" bestFit="1" customWidth="1"/>
    <col min="8196" max="8196" width="16" style="3" bestFit="1" customWidth="1"/>
    <col min="8197" max="8197" width="16.140625" style="3" bestFit="1" customWidth="1"/>
    <col min="8198" max="8199" width="14.5703125" style="3" customWidth="1"/>
    <col min="8200" max="8200" width="19.28515625" style="3" customWidth="1"/>
    <col min="8201" max="8449" width="9.140625" style="3"/>
    <col min="8450" max="8450" width="13.7109375" style="3" customWidth="1"/>
    <col min="8451" max="8451" width="11" style="3" bestFit="1" customWidth="1"/>
    <col min="8452" max="8452" width="16" style="3" bestFit="1" customWidth="1"/>
    <col min="8453" max="8453" width="16.140625" style="3" bestFit="1" customWidth="1"/>
    <col min="8454" max="8455" width="14.5703125" style="3" customWidth="1"/>
    <col min="8456" max="8456" width="19.28515625" style="3" customWidth="1"/>
    <col min="8457" max="8705" width="9.140625" style="3"/>
    <col min="8706" max="8706" width="13.7109375" style="3" customWidth="1"/>
    <col min="8707" max="8707" width="11" style="3" bestFit="1" customWidth="1"/>
    <col min="8708" max="8708" width="16" style="3" bestFit="1" customWidth="1"/>
    <col min="8709" max="8709" width="16.140625" style="3" bestFit="1" customWidth="1"/>
    <col min="8710" max="8711" width="14.5703125" style="3" customWidth="1"/>
    <col min="8712" max="8712" width="19.28515625" style="3" customWidth="1"/>
    <col min="8713" max="8961" width="9.140625" style="3"/>
    <col min="8962" max="8962" width="13.7109375" style="3" customWidth="1"/>
    <col min="8963" max="8963" width="11" style="3" bestFit="1" customWidth="1"/>
    <col min="8964" max="8964" width="16" style="3" bestFit="1" customWidth="1"/>
    <col min="8965" max="8965" width="16.140625" style="3" bestFit="1" customWidth="1"/>
    <col min="8966" max="8967" width="14.5703125" style="3" customWidth="1"/>
    <col min="8968" max="8968" width="19.28515625" style="3" customWidth="1"/>
    <col min="8969" max="9217" width="9.140625" style="3"/>
    <col min="9218" max="9218" width="13.7109375" style="3" customWidth="1"/>
    <col min="9219" max="9219" width="11" style="3" bestFit="1" customWidth="1"/>
    <col min="9220" max="9220" width="16" style="3" bestFit="1" customWidth="1"/>
    <col min="9221" max="9221" width="16.140625" style="3" bestFit="1" customWidth="1"/>
    <col min="9222" max="9223" width="14.5703125" style="3" customWidth="1"/>
    <col min="9224" max="9224" width="19.28515625" style="3" customWidth="1"/>
    <col min="9225" max="9473" width="9.140625" style="3"/>
    <col min="9474" max="9474" width="13.7109375" style="3" customWidth="1"/>
    <col min="9475" max="9475" width="11" style="3" bestFit="1" customWidth="1"/>
    <col min="9476" max="9476" width="16" style="3" bestFit="1" customWidth="1"/>
    <col min="9477" max="9477" width="16.140625" style="3" bestFit="1" customWidth="1"/>
    <col min="9478" max="9479" width="14.5703125" style="3" customWidth="1"/>
    <col min="9480" max="9480" width="19.28515625" style="3" customWidth="1"/>
    <col min="9481" max="9729" width="9.140625" style="3"/>
    <col min="9730" max="9730" width="13.7109375" style="3" customWidth="1"/>
    <col min="9731" max="9731" width="11" style="3" bestFit="1" customWidth="1"/>
    <col min="9732" max="9732" width="16" style="3" bestFit="1" customWidth="1"/>
    <col min="9733" max="9733" width="16.140625" style="3" bestFit="1" customWidth="1"/>
    <col min="9734" max="9735" width="14.5703125" style="3" customWidth="1"/>
    <col min="9736" max="9736" width="19.28515625" style="3" customWidth="1"/>
    <col min="9737" max="9985" width="9.140625" style="3"/>
    <col min="9986" max="9986" width="13.7109375" style="3" customWidth="1"/>
    <col min="9987" max="9987" width="11" style="3" bestFit="1" customWidth="1"/>
    <col min="9988" max="9988" width="16" style="3" bestFit="1" customWidth="1"/>
    <col min="9989" max="9989" width="16.140625" style="3" bestFit="1" customWidth="1"/>
    <col min="9990" max="9991" width="14.5703125" style="3" customWidth="1"/>
    <col min="9992" max="9992" width="19.28515625" style="3" customWidth="1"/>
    <col min="9993" max="10241" width="9.140625" style="3"/>
    <col min="10242" max="10242" width="13.7109375" style="3" customWidth="1"/>
    <col min="10243" max="10243" width="11" style="3" bestFit="1" customWidth="1"/>
    <col min="10244" max="10244" width="16" style="3" bestFit="1" customWidth="1"/>
    <col min="10245" max="10245" width="16.140625" style="3" bestFit="1" customWidth="1"/>
    <col min="10246" max="10247" width="14.5703125" style="3" customWidth="1"/>
    <col min="10248" max="10248" width="19.28515625" style="3" customWidth="1"/>
    <col min="10249" max="10497" width="9.140625" style="3"/>
    <col min="10498" max="10498" width="13.7109375" style="3" customWidth="1"/>
    <col min="10499" max="10499" width="11" style="3" bestFit="1" customWidth="1"/>
    <col min="10500" max="10500" width="16" style="3" bestFit="1" customWidth="1"/>
    <col min="10501" max="10501" width="16.140625" style="3" bestFit="1" customWidth="1"/>
    <col min="10502" max="10503" width="14.5703125" style="3" customWidth="1"/>
    <col min="10504" max="10504" width="19.28515625" style="3" customWidth="1"/>
    <col min="10505" max="10753" width="9.140625" style="3"/>
    <col min="10754" max="10754" width="13.7109375" style="3" customWidth="1"/>
    <col min="10755" max="10755" width="11" style="3" bestFit="1" customWidth="1"/>
    <col min="10756" max="10756" width="16" style="3" bestFit="1" customWidth="1"/>
    <col min="10757" max="10757" width="16.140625" style="3" bestFit="1" customWidth="1"/>
    <col min="10758" max="10759" width="14.5703125" style="3" customWidth="1"/>
    <col min="10760" max="10760" width="19.28515625" style="3" customWidth="1"/>
    <col min="10761" max="11009" width="9.140625" style="3"/>
    <col min="11010" max="11010" width="13.7109375" style="3" customWidth="1"/>
    <col min="11011" max="11011" width="11" style="3" bestFit="1" customWidth="1"/>
    <col min="11012" max="11012" width="16" style="3" bestFit="1" customWidth="1"/>
    <col min="11013" max="11013" width="16.140625" style="3" bestFit="1" customWidth="1"/>
    <col min="11014" max="11015" width="14.5703125" style="3" customWidth="1"/>
    <col min="11016" max="11016" width="19.28515625" style="3" customWidth="1"/>
    <col min="11017" max="11265" width="9.140625" style="3"/>
    <col min="11266" max="11266" width="13.7109375" style="3" customWidth="1"/>
    <col min="11267" max="11267" width="11" style="3" bestFit="1" customWidth="1"/>
    <col min="11268" max="11268" width="16" style="3" bestFit="1" customWidth="1"/>
    <col min="11269" max="11269" width="16.140625" style="3" bestFit="1" customWidth="1"/>
    <col min="11270" max="11271" width="14.5703125" style="3" customWidth="1"/>
    <col min="11272" max="11272" width="19.28515625" style="3" customWidth="1"/>
    <col min="11273" max="11521" width="9.140625" style="3"/>
    <col min="11522" max="11522" width="13.7109375" style="3" customWidth="1"/>
    <col min="11523" max="11523" width="11" style="3" bestFit="1" customWidth="1"/>
    <col min="11524" max="11524" width="16" style="3" bestFit="1" customWidth="1"/>
    <col min="11525" max="11525" width="16.140625" style="3" bestFit="1" customWidth="1"/>
    <col min="11526" max="11527" width="14.5703125" style="3" customWidth="1"/>
    <col min="11528" max="11528" width="19.28515625" style="3" customWidth="1"/>
    <col min="11529" max="11777" width="9.140625" style="3"/>
    <col min="11778" max="11778" width="13.7109375" style="3" customWidth="1"/>
    <col min="11779" max="11779" width="11" style="3" bestFit="1" customWidth="1"/>
    <col min="11780" max="11780" width="16" style="3" bestFit="1" customWidth="1"/>
    <col min="11781" max="11781" width="16.140625" style="3" bestFit="1" customWidth="1"/>
    <col min="11782" max="11783" width="14.5703125" style="3" customWidth="1"/>
    <col min="11784" max="11784" width="19.28515625" style="3" customWidth="1"/>
    <col min="11785" max="12033" width="9.140625" style="3"/>
    <col min="12034" max="12034" width="13.7109375" style="3" customWidth="1"/>
    <col min="12035" max="12035" width="11" style="3" bestFit="1" customWidth="1"/>
    <col min="12036" max="12036" width="16" style="3" bestFit="1" customWidth="1"/>
    <col min="12037" max="12037" width="16.140625" style="3" bestFit="1" customWidth="1"/>
    <col min="12038" max="12039" width="14.5703125" style="3" customWidth="1"/>
    <col min="12040" max="12040" width="19.28515625" style="3" customWidth="1"/>
    <col min="12041" max="12289" width="9.140625" style="3"/>
    <col min="12290" max="12290" width="13.7109375" style="3" customWidth="1"/>
    <col min="12291" max="12291" width="11" style="3" bestFit="1" customWidth="1"/>
    <col min="12292" max="12292" width="16" style="3" bestFit="1" customWidth="1"/>
    <col min="12293" max="12293" width="16.140625" style="3" bestFit="1" customWidth="1"/>
    <col min="12294" max="12295" width="14.5703125" style="3" customWidth="1"/>
    <col min="12296" max="12296" width="19.28515625" style="3" customWidth="1"/>
    <col min="12297" max="12545" width="9.140625" style="3"/>
    <col min="12546" max="12546" width="13.7109375" style="3" customWidth="1"/>
    <col min="12547" max="12547" width="11" style="3" bestFit="1" customWidth="1"/>
    <col min="12548" max="12548" width="16" style="3" bestFit="1" customWidth="1"/>
    <col min="12549" max="12549" width="16.140625" style="3" bestFit="1" customWidth="1"/>
    <col min="12550" max="12551" width="14.5703125" style="3" customWidth="1"/>
    <col min="12552" max="12552" width="19.28515625" style="3" customWidth="1"/>
    <col min="12553" max="12801" width="9.140625" style="3"/>
    <col min="12802" max="12802" width="13.7109375" style="3" customWidth="1"/>
    <col min="12803" max="12803" width="11" style="3" bestFit="1" customWidth="1"/>
    <col min="12804" max="12804" width="16" style="3" bestFit="1" customWidth="1"/>
    <col min="12805" max="12805" width="16.140625" style="3" bestFit="1" customWidth="1"/>
    <col min="12806" max="12807" width="14.5703125" style="3" customWidth="1"/>
    <col min="12808" max="12808" width="19.28515625" style="3" customWidth="1"/>
    <col min="12809" max="13057" width="9.140625" style="3"/>
    <col min="13058" max="13058" width="13.7109375" style="3" customWidth="1"/>
    <col min="13059" max="13059" width="11" style="3" bestFit="1" customWidth="1"/>
    <col min="13060" max="13060" width="16" style="3" bestFit="1" customWidth="1"/>
    <col min="13061" max="13061" width="16.140625" style="3" bestFit="1" customWidth="1"/>
    <col min="13062" max="13063" width="14.5703125" style="3" customWidth="1"/>
    <col min="13064" max="13064" width="19.28515625" style="3" customWidth="1"/>
    <col min="13065" max="13313" width="9.140625" style="3"/>
    <col min="13314" max="13314" width="13.7109375" style="3" customWidth="1"/>
    <col min="13315" max="13315" width="11" style="3" bestFit="1" customWidth="1"/>
    <col min="13316" max="13316" width="16" style="3" bestFit="1" customWidth="1"/>
    <col min="13317" max="13317" width="16.140625" style="3" bestFit="1" customWidth="1"/>
    <col min="13318" max="13319" width="14.5703125" style="3" customWidth="1"/>
    <col min="13320" max="13320" width="19.28515625" style="3" customWidth="1"/>
    <col min="13321" max="13569" width="9.140625" style="3"/>
    <col min="13570" max="13570" width="13.7109375" style="3" customWidth="1"/>
    <col min="13571" max="13571" width="11" style="3" bestFit="1" customWidth="1"/>
    <col min="13572" max="13572" width="16" style="3" bestFit="1" customWidth="1"/>
    <col min="13573" max="13573" width="16.140625" style="3" bestFit="1" customWidth="1"/>
    <col min="13574" max="13575" width="14.5703125" style="3" customWidth="1"/>
    <col min="13576" max="13576" width="19.28515625" style="3" customWidth="1"/>
    <col min="13577" max="13825" width="9.140625" style="3"/>
    <col min="13826" max="13826" width="13.7109375" style="3" customWidth="1"/>
    <col min="13827" max="13827" width="11" style="3" bestFit="1" customWidth="1"/>
    <col min="13828" max="13828" width="16" style="3" bestFit="1" customWidth="1"/>
    <col min="13829" max="13829" width="16.140625" style="3" bestFit="1" customWidth="1"/>
    <col min="13830" max="13831" width="14.5703125" style="3" customWidth="1"/>
    <col min="13832" max="13832" width="19.28515625" style="3" customWidth="1"/>
    <col min="13833" max="14081" width="9.140625" style="3"/>
    <col min="14082" max="14082" width="13.7109375" style="3" customWidth="1"/>
    <col min="14083" max="14083" width="11" style="3" bestFit="1" customWidth="1"/>
    <col min="14084" max="14084" width="16" style="3" bestFit="1" customWidth="1"/>
    <col min="14085" max="14085" width="16.140625" style="3" bestFit="1" customWidth="1"/>
    <col min="14086" max="14087" width="14.5703125" style="3" customWidth="1"/>
    <col min="14088" max="14088" width="19.28515625" style="3" customWidth="1"/>
    <col min="14089" max="14337" width="9.140625" style="3"/>
    <col min="14338" max="14338" width="13.7109375" style="3" customWidth="1"/>
    <col min="14339" max="14339" width="11" style="3" bestFit="1" customWidth="1"/>
    <col min="14340" max="14340" width="16" style="3" bestFit="1" customWidth="1"/>
    <col min="14341" max="14341" width="16.140625" style="3" bestFit="1" customWidth="1"/>
    <col min="14342" max="14343" width="14.5703125" style="3" customWidth="1"/>
    <col min="14344" max="14344" width="19.28515625" style="3" customWidth="1"/>
    <col min="14345" max="14593" width="9.140625" style="3"/>
    <col min="14594" max="14594" width="13.7109375" style="3" customWidth="1"/>
    <col min="14595" max="14595" width="11" style="3" bestFit="1" customWidth="1"/>
    <col min="14596" max="14596" width="16" style="3" bestFit="1" customWidth="1"/>
    <col min="14597" max="14597" width="16.140625" style="3" bestFit="1" customWidth="1"/>
    <col min="14598" max="14599" width="14.5703125" style="3" customWidth="1"/>
    <col min="14600" max="14600" width="19.28515625" style="3" customWidth="1"/>
    <col min="14601" max="14849" width="9.140625" style="3"/>
    <col min="14850" max="14850" width="13.7109375" style="3" customWidth="1"/>
    <col min="14851" max="14851" width="11" style="3" bestFit="1" customWidth="1"/>
    <col min="14852" max="14852" width="16" style="3" bestFit="1" customWidth="1"/>
    <col min="14853" max="14853" width="16.140625" style="3" bestFit="1" customWidth="1"/>
    <col min="14854" max="14855" width="14.5703125" style="3" customWidth="1"/>
    <col min="14856" max="14856" width="19.28515625" style="3" customWidth="1"/>
    <col min="14857" max="15105" width="9.140625" style="3"/>
    <col min="15106" max="15106" width="13.7109375" style="3" customWidth="1"/>
    <col min="15107" max="15107" width="11" style="3" bestFit="1" customWidth="1"/>
    <col min="15108" max="15108" width="16" style="3" bestFit="1" customWidth="1"/>
    <col min="15109" max="15109" width="16.140625" style="3" bestFit="1" customWidth="1"/>
    <col min="15110" max="15111" width="14.5703125" style="3" customWidth="1"/>
    <col min="15112" max="15112" width="19.28515625" style="3" customWidth="1"/>
    <col min="15113" max="15361" width="9.140625" style="3"/>
    <col min="15362" max="15362" width="13.7109375" style="3" customWidth="1"/>
    <col min="15363" max="15363" width="11" style="3" bestFit="1" customWidth="1"/>
    <col min="15364" max="15364" width="16" style="3" bestFit="1" customWidth="1"/>
    <col min="15365" max="15365" width="16.140625" style="3" bestFit="1" customWidth="1"/>
    <col min="15366" max="15367" width="14.5703125" style="3" customWidth="1"/>
    <col min="15368" max="15368" width="19.28515625" style="3" customWidth="1"/>
    <col min="15369" max="15617" width="9.140625" style="3"/>
    <col min="15618" max="15618" width="13.7109375" style="3" customWidth="1"/>
    <col min="15619" max="15619" width="11" style="3" bestFit="1" customWidth="1"/>
    <col min="15620" max="15620" width="16" style="3" bestFit="1" customWidth="1"/>
    <col min="15621" max="15621" width="16.140625" style="3" bestFit="1" customWidth="1"/>
    <col min="15622" max="15623" width="14.5703125" style="3" customWidth="1"/>
    <col min="15624" max="15624" width="19.28515625" style="3" customWidth="1"/>
    <col min="15625" max="15873" width="9.140625" style="3"/>
    <col min="15874" max="15874" width="13.7109375" style="3" customWidth="1"/>
    <col min="15875" max="15875" width="11" style="3" bestFit="1" customWidth="1"/>
    <col min="15876" max="15876" width="16" style="3" bestFit="1" customWidth="1"/>
    <col min="15877" max="15877" width="16.140625" style="3" bestFit="1" customWidth="1"/>
    <col min="15878" max="15879" width="14.5703125" style="3" customWidth="1"/>
    <col min="15880" max="15880" width="19.28515625" style="3" customWidth="1"/>
    <col min="15881" max="16129" width="9.140625" style="3"/>
    <col min="16130" max="16130" width="13.7109375" style="3" customWidth="1"/>
    <col min="16131" max="16131" width="11" style="3" bestFit="1" customWidth="1"/>
    <col min="16132" max="16132" width="16" style="3" bestFit="1" customWidth="1"/>
    <col min="16133" max="16133" width="16.140625" style="3" bestFit="1" customWidth="1"/>
    <col min="16134" max="16135" width="14.5703125" style="3" customWidth="1"/>
    <col min="16136" max="16136" width="19.28515625" style="3" customWidth="1"/>
    <col min="16137" max="16384" width="9.140625" style="3"/>
  </cols>
  <sheetData>
    <row r="1" spans="1:10" ht="15.75" x14ac:dyDescent="0.25">
      <c r="A1" s="99" t="str">
        <f>Scrap_Sale!A1</f>
        <v>XXXXXXXX  Depot</v>
      </c>
      <c r="B1" s="99"/>
      <c r="C1" s="99"/>
      <c r="D1" s="99"/>
      <c r="E1" s="99"/>
      <c r="F1" s="99"/>
      <c r="G1" s="99"/>
      <c r="H1" s="99"/>
    </row>
    <row r="2" spans="1:10" ht="15.75" x14ac:dyDescent="0.25">
      <c r="A2" s="99" t="s">
        <v>46</v>
      </c>
      <c r="B2" s="99"/>
      <c r="C2" s="99"/>
      <c r="D2" s="99"/>
      <c r="E2" s="99"/>
      <c r="F2" s="99"/>
      <c r="G2" s="99"/>
      <c r="H2" s="99"/>
    </row>
    <row r="3" spans="1:10" x14ac:dyDescent="0.25">
      <c r="A3" s="100" t="str">
        <f ca="1">Scrap_Sale!A3</f>
        <v>From Jan-25 to Dec-25</v>
      </c>
      <c r="B3" s="100"/>
      <c r="C3" s="100"/>
      <c r="D3" s="100"/>
      <c r="E3" s="100"/>
      <c r="F3" s="100"/>
      <c r="G3" s="100"/>
      <c r="H3" s="100"/>
    </row>
    <row r="4" spans="1:10" ht="15" x14ac:dyDescent="0.25">
      <c r="A4" s="1" t="s">
        <v>9</v>
      </c>
      <c r="B4" s="101" t="s">
        <v>53</v>
      </c>
      <c r="C4" s="101"/>
      <c r="D4" s="101"/>
      <c r="E4" s="101"/>
      <c r="F4" s="2"/>
      <c r="G4" s="2"/>
      <c r="H4" s="2"/>
    </row>
    <row r="5" spans="1:10" x14ac:dyDescent="0.25">
      <c r="A5" s="1" t="s">
        <v>52</v>
      </c>
      <c r="B5" s="11" t="s">
        <v>54</v>
      </c>
      <c r="C5" s="2"/>
      <c r="D5" s="2"/>
      <c r="E5" s="2"/>
      <c r="F5" s="2"/>
      <c r="G5" s="2"/>
      <c r="H5" s="2"/>
    </row>
    <row r="6" spans="1:10" x14ac:dyDescent="0.25">
      <c r="A6" s="1" t="s">
        <v>56</v>
      </c>
      <c r="B6" s="11"/>
      <c r="C6" s="2"/>
      <c r="D6" s="2"/>
      <c r="E6" s="2"/>
      <c r="F6" s="2"/>
      <c r="G6" s="2"/>
      <c r="H6" s="2"/>
    </row>
    <row r="7" spans="1:10" s="2" customFormat="1" ht="28.5" customHeight="1" x14ac:dyDescent="0.25">
      <c r="A7" s="70" t="s">
        <v>1</v>
      </c>
      <c r="B7" s="71" t="s">
        <v>14</v>
      </c>
      <c r="C7" s="71" t="s">
        <v>15</v>
      </c>
      <c r="D7" s="40" t="s">
        <v>44</v>
      </c>
      <c r="E7" s="93" t="s">
        <v>45</v>
      </c>
      <c r="F7" s="72" t="s">
        <v>10</v>
      </c>
      <c r="G7" s="72" t="s">
        <v>11</v>
      </c>
      <c r="H7" s="73" t="s">
        <v>12</v>
      </c>
    </row>
    <row r="8" spans="1:10" ht="19.5" customHeight="1" x14ac:dyDescent="0.25">
      <c r="A8" s="54">
        <f>IF(Scrap_Sale!A5="","",Scrap_Sale!A5)</f>
        <v>45658</v>
      </c>
      <c r="B8" s="41">
        <v>5</v>
      </c>
      <c r="C8" s="42">
        <v>750</v>
      </c>
      <c r="D8" s="42">
        <v>130</v>
      </c>
      <c r="E8" s="69"/>
      <c r="F8" s="43">
        <f>IFERROR(Table4445[[#This Row],[Fuel  Liter]]/(Table4445[[#This Row],[Total Run time 
(if Minute)]]/60),0)</f>
        <v>2.3076923076923079</v>
      </c>
      <c r="G8" s="43">
        <f>IFERROR(Table4445[[#This Row],[Fuel Taka]]/(Table4445[[#This Row],[Total Run time 
(if Minute)]]/60),0)</f>
        <v>346.15384615384619</v>
      </c>
      <c r="H8" s="74"/>
    </row>
    <row r="9" spans="1:10" ht="19.5" customHeight="1" x14ac:dyDescent="0.25">
      <c r="A9" s="54">
        <f>IF(Scrap_Sale!A6="","",Scrap_Sale!A6)</f>
        <v>45689</v>
      </c>
      <c r="B9" s="41"/>
      <c r="C9" s="42"/>
      <c r="D9" s="42">
        <f>HOUR(Table4445[[#This Row],[Total Run time 
(if Hour:Minute)]])*60+MINUTE(Table4445[[#This Row],[Total Run time 
(if Hour:Minute)]])</f>
        <v>0</v>
      </c>
      <c r="E9" s="69"/>
      <c r="F9" s="43">
        <f>IFERROR(Table4445[[#This Row],[Fuel  Liter]]/(Table4445[[#This Row],[Total Run time 
(if Minute)]]/60),0)</f>
        <v>0</v>
      </c>
      <c r="G9" s="43">
        <f>IFERROR(Table4445[[#This Row],[Fuel Taka]]/(Table4445[[#This Row],[Total Run time 
(if Minute)]]/60),0)</f>
        <v>0</v>
      </c>
      <c r="H9" s="74"/>
      <c r="J9" s="92"/>
    </row>
    <row r="10" spans="1:10" ht="19.5" customHeight="1" x14ac:dyDescent="0.25">
      <c r="A10" s="54">
        <f>IF(Scrap_Sale!A7="","",Scrap_Sale!A7)</f>
        <v>45717</v>
      </c>
      <c r="B10" s="41"/>
      <c r="C10" s="42"/>
      <c r="D10" s="42">
        <f>HOUR(Table4445[[#This Row],[Total Run time 
(if Hour:Minute)]])*60+MINUTE(Table4445[[#This Row],[Total Run time 
(if Hour:Minute)]])</f>
        <v>0</v>
      </c>
      <c r="E10" s="69"/>
      <c r="F10" s="43">
        <f>IFERROR(Table4445[[#This Row],[Fuel  Liter]]/(Table4445[[#This Row],[Total Run time 
(if Minute)]]/60),0)</f>
        <v>0</v>
      </c>
      <c r="G10" s="43">
        <f>IFERROR(Table4445[[#This Row],[Fuel Taka]]/(Table4445[[#This Row],[Total Run time 
(if Minute)]]/60),0)</f>
        <v>0</v>
      </c>
      <c r="H10" s="74"/>
    </row>
    <row r="11" spans="1:10" ht="19.5" customHeight="1" x14ac:dyDescent="0.25">
      <c r="A11" s="54">
        <f>IF(Scrap_Sale!A8="","",Scrap_Sale!A8)</f>
        <v>45748</v>
      </c>
      <c r="B11" s="41"/>
      <c r="C11" s="42"/>
      <c r="D11" s="42">
        <f>HOUR(Table4445[[#This Row],[Total Run time 
(if Hour:Minute)]])*60+MINUTE(Table4445[[#This Row],[Total Run time 
(if Hour:Minute)]])</f>
        <v>0</v>
      </c>
      <c r="E11" s="69"/>
      <c r="F11" s="43">
        <f>IFERROR(Table4445[[#This Row],[Fuel  Liter]]/(Table4445[[#This Row],[Total Run time 
(if Minute)]]/60),0)</f>
        <v>0</v>
      </c>
      <c r="G11" s="43">
        <f>IFERROR(Table4445[[#This Row],[Fuel Taka]]/(Table4445[[#This Row],[Total Run time 
(if Minute)]]/60),0)</f>
        <v>0</v>
      </c>
      <c r="H11" s="74"/>
    </row>
    <row r="12" spans="1:10" ht="19.5" customHeight="1" x14ac:dyDescent="0.25">
      <c r="A12" s="54">
        <f>IF(Scrap_Sale!A9="","",Scrap_Sale!A9)</f>
        <v>45778</v>
      </c>
      <c r="B12" s="41"/>
      <c r="C12" s="42"/>
      <c r="D12" s="42">
        <f>HOUR(Table4445[[#This Row],[Total Run time 
(if Hour:Minute)]])*60+MINUTE(Table4445[[#This Row],[Total Run time 
(if Hour:Minute)]])</f>
        <v>0</v>
      </c>
      <c r="E12" s="69"/>
      <c r="F12" s="43">
        <f>IFERROR(Table4445[[#This Row],[Fuel  Liter]]/(Table4445[[#This Row],[Total Run time 
(if Minute)]]/60),0)</f>
        <v>0</v>
      </c>
      <c r="G12" s="43">
        <f>IFERROR(Table4445[[#This Row],[Fuel Taka]]/(Table4445[[#This Row],[Total Run time 
(if Minute)]]/60),0)</f>
        <v>0</v>
      </c>
      <c r="H12" s="74"/>
    </row>
    <row r="13" spans="1:10" ht="19.5" customHeight="1" x14ac:dyDescent="0.25">
      <c r="A13" s="54">
        <f>IF(Scrap_Sale!A10="","",Scrap_Sale!A10)</f>
        <v>45809</v>
      </c>
      <c r="B13" s="41"/>
      <c r="C13" s="42"/>
      <c r="D13" s="42">
        <f>HOUR(Table4445[[#This Row],[Total Run time 
(if Hour:Minute)]])*60+MINUTE(Table4445[[#This Row],[Total Run time 
(if Hour:Minute)]])</f>
        <v>0</v>
      </c>
      <c r="E13" s="69"/>
      <c r="F13" s="43">
        <f>IFERROR(Table4445[[#This Row],[Fuel  Liter]]/(Table4445[[#This Row],[Total Run time 
(if Minute)]]/60),0)</f>
        <v>0</v>
      </c>
      <c r="G13" s="43">
        <f>IFERROR(Table4445[[#This Row],[Fuel Taka]]/(Table4445[[#This Row],[Total Run time 
(if Minute)]]/60),0)</f>
        <v>0</v>
      </c>
      <c r="H13" s="74"/>
    </row>
    <row r="14" spans="1:10" ht="19.5" customHeight="1" x14ac:dyDescent="0.25">
      <c r="A14" s="54">
        <f>IF(Scrap_Sale!A11="","",Scrap_Sale!A11)</f>
        <v>45839</v>
      </c>
      <c r="B14" s="41"/>
      <c r="C14" s="42"/>
      <c r="D14" s="42">
        <f>HOUR(Table4445[[#This Row],[Total Run time 
(if Hour:Minute)]])*60+MINUTE(Table4445[[#This Row],[Total Run time 
(if Hour:Minute)]])</f>
        <v>0</v>
      </c>
      <c r="E14" s="69"/>
      <c r="F14" s="43">
        <f>IFERROR(Table4445[[#This Row],[Fuel  Liter]]/(Table4445[[#This Row],[Total Run time 
(if Minute)]]/60),0)</f>
        <v>0</v>
      </c>
      <c r="G14" s="43">
        <f>IFERROR(Table4445[[#This Row],[Fuel Taka]]/(Table4445[[#This Row],[Total Run time 
(if Minute)]]/60),0)</f>
        <v>0</v>
      </c>
      <c r="H14" s="74"/>
    </row>
    <row r="15" spans="1:10" ht="19.5" customHeight="1" x14ac:dyDescent="0.25">
      <c r="A15" s="54">
        <f>IF(Scrap_Sale!A12="","",Scrap_Sale!A12)</f>
        <v>45870</v>
      </c>
      <c r="B15" s="41"/>
      <c r="C15" s="42"/>
      <c r="D15" s="42">
        <f>HOUR(Table4445[[#This Row],[Total Run time 
(if Hour:Minute)]])*60+MINUTE(Table4445[[#This Row],[Total Run time 
(if Hour:Minute)]])</f>
        <v>0</v>
      </c>
      <c r="E15" s="69"/>
      <c r="F15" s="43">
        <f>IFERROR(Table4445[[#This Row],[Fuel  Liter]]/(Table4445[[#This Row],[Total Run time 
(if Minute)]]/60),0)</f>
        <v>0</v>
      </c>
      <c r="G15" s="43">
        <f>IFERROR(Table4445[[#This Row],[Fuel Taka]]/(Table4445[[#This Row],[Total Run time 
(if Minute)]]/60),0)</f>
        <v>0</v>
      </c>
      <c r="H15" s="74"/>
    </row>
    <row r="16" spans="1:10" ht="19.5" customHeight="1" x14ac:dyDescent="0.25">
      <c r="A16" s="54">
        <f>IF(Scrap_Sale!A13="","",Scrap_Sale!A13)</f>
        <v>45901</v>
      </c>
      <c r="B16" s="41"/>
      <c r="C16" s="42"/>
      <c r="D16" s="42">
        <f>HOUR(Table4445[[#This Row],[Total Run time 
(if Hour:Minute)]])*60+MINUTE(Table4445[[#This Row],[Total Run time 
(if Hour:Minute)]])</f>
        <v>0</v>
      </c>
      <c r="E16" s="69"/>
      <c r="F16" s="43">
        <f>IFERROR(Table4445[[#This Row],[Fuel  Liter]]/(Table4445[[#This Row],[Total Run time 
(if Minute)]]/60),0)</f>
        <v>0</v>
      </c>
      <c r="G16" s="43">
        <f>IFERROR(Table4445[[#This Row],[Fuel Taka]]/(Table4445[[#This Row],[Total Run time 
(if Minute)]]/60),0)</f>
        <v>0</v>
      </c>
      <c r="H16" s="74"/>
    </row>
    <row r="17" spans="1:8" ht="19.5" customHeight="1" x14ac:dyDescent="0.25">
      <c r="A17" s="54">
        <f>IF(Scrap_Sale!A14="","",Scrap_Sale!A14)</f>
        <v>45931</v>
      </c>
      <c r="B17" s="41"/>
      <c r="C17" s="42"/>
      <c r="D17" s="42">
        <f>HOUR(Table4445[[#This Row],[Total Run time 
(if Hour:Minute)]])*60+MINUTE(Table4445[[#This Row],[Total Run time 
(if Hour:Minute)]])</f>
        <v>0</v>
      </c>
      <c r="E17" s="69"/>
      <c r="F17" s="43">
        <f>IFERROR(Table4445[[#This Row],[Fuel  Liter]]/(Table4445[[#This Row],[Total Run time 
(if Minute)]]/60),0)</f>
        <v>0</v>
      </c>
      <c r="G17" s="43">
        <f>IFERROR(Table4445[[#This Row],[Fuel Taka]]/(Table4445[[#This Row],[Total Run time 
(if Minute)]]/60),0)</f>
        <v>0</v>
      </c>
      <c r="H17" s="74"/>
    </row>
    <row r="18" spans="1:8" ht="19.5" customHeight="1" x14ac:dyDescent="0.25">
      <c r="A18" s="54">
        <f>IF(Scrap_Sale!A15="","",Scrap_Sale!A15)</f>
        <v>45962</v>
      </c>
      <c r="B18" s="41"/>
      <c r="C18" s="42"/>
      <c r="D18" s="42">
        <f>HOUR(Table4445[[#This Row],[Total Run time 
(if Hour:Minute)]])*60+MINUTE(Table4445[[#This Row],[Total Run time 
(if Hour:Minute)]])</f>
        <v>0</v>
      </c>
      <c r="E18" s="69"/>
      <c r="F18" s="43">
        <f>IFERROR(Table4445[[#This Row],[Fuel  Liter]]/(Table4445[[#This Row],[Total Run time 
(if Minute)]]/60),0)</f>
        <v>0</v>
      </c>
      <c r="G18" s="43">
        <f>IFERROR(Table4445[[#This Row],[Fuel Taka]]/(Table4445[[#This Row],[Total Run time 
(if Minute)]]/60),0)</f>
        <v>0</v>
      </c>
      <c r="H18" s="74"/>
    </row>
    <row r="19" spans="1:8" ht="19.5" customHeight="1" x14ac:dyDescent="0.25">
      <c r="A19" s="54">
        <f>IF(Scrap_Sale!A16="","",Scrap_Sale!A16)</f>
        <v>45992</v>
      </c>
      <c r="B19" s="41"/>
      <c r="C19" s="42"/>
      <c r="D19" s="42">
        <f>HOUR(Table4445[[#This Row],[Total Run time 
(if Hour:Minute)]])*60+MINUTE(Table4445[[#This Row],[Total Run time 
(if Hour:Minute)]])</f>
        <v>0</v>
      </c>
      <c r="E19" s="69"/>
      <c r="F19" s="43">
        <f>IFERROR(Table4445[[#This Row],[Fuel  Liter]]/(Table4445[[#This Row],[Total Run time 
(if Minute)]]/60),0)</f>
        <v>0</v>
      </c>
      <c r="G19" s="43">
        <f>IFERROR(Table4445[[#This Row],[Fuel Taka]]/(Table4445[[#This Row],[Total Run time 
(if Minute)]]/60),0)</f>
        <v>0</v>
      </c>
      <c r="H19" s="74"/>
    </row>
    <row r="20" spans="1:8" s="2" customFormat="1" ht="23.25" customHeight="1" x14ac:dyDescent="0.25">
      <c r="A20" s="75" t="s">
        <v>6</v>
      </c>
      <c r="B20" s="37">
        <f>SUM(B8:B19)</f>
        <v>5</v>
      </c>
      <c r="C20" s="37">
        <f t="shared" ref="C20" si="0">SUM(C8:C19)</f>
        <v>750</v>
      </c>
      <c r="D20" s="37">
        <f>SUBTOTAL(109,D8:D19)</f>
        <v>130</v>
      </c>
      <c r="E20" s="37">
        <f>(SUM(E8:E19)*1440)</f>
        <v>0</v>
      </c>
      <c r="F20" s="76">
        <f>IFERROR(Table4445[[#This Row],[Fuel  Liter]]/(Table4445[[#This Row],[Total Run time 
(if Minute)]]/60),0)</f>
        <v>2.3076923076923079</v>
      </c>
      <c r="G20" s="76">
        <f>IFERROR(Table4445[[#This Row],[Fuel Taka]]/(Table4445[[#This Row],[Total Run time 
(if Minute)]]/60),0)</f>
        <v>346.15384615384619</v>
      </c>
      <c r="H20" s="77">
        <f>Table4445[[#This Row],[Fuel Consup. Per Hour (Liter)]]*0</f>
        <v>0</v>
      </c>
    </row>
    <row r="21" spans="1:8" ht="15" x14ac:dyDescent="0.25">
      <c r="A21" s="44"/>
      <c r="B21" s="44"/>
      <c r="E21" s="116" t="s">
        <v>51</v>
      </c>
      <c r="F21" s="117">
        <v>1.5</v>
      </c>
    </row>
    <row r="22" spans="1:8" x14ac:dyDescent="0.2">
      <c r="A22" s="94" t="s">
        <v>47</v>
      </c>
      <c r="B22" s="95">
        <f>B20/COUNT(A8:A19)</f>
        <v>0.41666666666666669</v>
      </c>
    </row>
    <row r="23" spans="1:8" x14ac:dyDescent="0.2">
      <c r="A23" s="59" t="str">
        <f>"Sajib"&amp;CHAR(169)</f>
        <v>Sajib©</v>
      </c>
      <c r="B23" s="115" t="str">
        <f>"During our audit period total "&amp;B20&amp;" liters "&amp;LOWER(B5)&amp;" has been used for "&amp;B4&amp;" and average consumption rate per hour is "&amp;TEXT(F20, "#,##,##0.00")&amp;" liters and last year average consumption rate per hour was "&amp;TEXT(F21, "#,##,##0.00")&amp;"  liters."</f>
        <v>During our audit period total 5 liters diesel has been used for 5 KVA Dolgfong Cumming, Model- and average consumption rate per hour is 2.31 liters and last year average consumption rate per hour was 1.50  liters.</v>
      </c>
      <c r="C23" s="115"/>
      <c r="D23" s="115"/>
      <c r="E23" s="115"/>
      <c r="F23" s="115"/>
      <c r="G23" s="115"/>
      <c r="H23" s="115"/>
    </row>
    <row r="24" spans="1:8" x14ac:dyDescent="0.2">
      <c r="B24" s="112"/>
    </row>
  </sheetData>
  <sheetProtection password="CEDB" sheet="1" objects="1" scenarios="1"/>
  <mergeCells count="5">
    <mergeCell ref="A1:H1"/>
    <mergeCell ref="A2:H2"/>
    <mergeCell ref="A3:H3"/>
    <mergeCell ref="B4:E4"/>
    <mergeCell ref="B23:H23"/>
  </mergeCells>
  <pageMargins left="0.7" right="0.7" top="1" bottom="0.75" header="0" footer="0.05"/>
  <pageSetup orientation="landscape" horizontalDpi="1200" verticalDpi="1200"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87107-BCD0-4B9F-B05F-10F4FA993FB9}">
  <dimension ref="A1:J24"/>
  <sheetViews>
    <sheetView tabSelected="1" view="pageBreakPreview" topLeftCell="A10" zoomScaleNormal="100" zoomScaleSheetLayoutView="100" workbookViewId="0">
      <selection activeCell="L18" sqref="L18"/>
    </sheetView>
  </sheetViews>
  <sheetFormatPr defaultRowHeight="14.25" x14ac:dyDescent="0.25"/>
  <cols>
    <col min="1" max="1" width="11" style="3" customWidth="1"/>
    <col min="2" max="2" width="10.140625" style="3" bestFit="1" customWidth="1"/>
    <col min="3" max="3" width="11.5703125" style="3" bestFit="1" customWidth="1"/>
    <col min="4" max="4" width="16" style="3" customWidth="1"/>
    <col min="5" max="5" width="19.42578125" style="3" customWidth="1"/>
    <col min="6" max="6" width="16.7109375" style="3" customWidth="1"/>
    <col min="7" max="7" width="15.85546875" style="3" customWidth="1"/>
    <col min="8" max="8" width="20" style="3" customWidth="1"/>
    <col min="9" max="257" width="9.140625" style="3"/>
    <col min="258" max="258" width="13.7109375" style="3" customWidth="1"/>
    <col min="259" max="259" width="11" style="3" bestFit="1" customWidth="1"/>
    <col min="260" max="260" width="16" style="3" bestFit="1" customWidth="1"/>
    <col min="261" max="261" width="16.140625" style="3" bestFit="1" customWidth="1"/>
    <col min="262" max="263" width="14.5703125" style="3" customWidth="1"/>
    <col min="264" max="264" width="19.28515625" style="3" customWidth="1"/>
    <col min="265" max="513" width="9.140625" style="3"/>
    <col min="514" max="514" width="13.7109375" style="3" customWidth="1"/>
    <col min="515" max="515" width="11" style="3" bestFit="1" customWidth="1"/>
    <col min="516" max="516" width="16" style="3" bestFit="1" customWidth="1"/>
    <col min="517" max="517" width="16.140625" style="3" bestFit="1" customWidth="1"/>
    <col min="518" max="519" width="14.5703125" style="3" customWidth="1"/>
    <col min="520" max="520" width="19.28515625" style="3" customWidth="1"/>
    <col min="521" max="769" width="9.140625" style="3"/>
    <col min="770" max="770" width="13.7109375" style="3" customWidth="1"/>
    <col min="771" max="771" width="11" style="3" bestFit="1" customWidth="1"/>
    <col min="772" max="772" width="16" style="3" bestFit="1" customWidth="1"/>
    <col min="773" max="773" width="16.140625" style="3" bestFit="1" customWidth="1"/>
    <col min="774" max="775" width="14.5703125" style="3" customWidth="1"/>
    <col min="776" max="776" width="19.28515625" style="3" customWidth="1"/>
    <col min="777" max="1025" width="9.140625" style="3"/>
    <col min="1026" max="1026" width="13.7109375" style="3" customWidth="1"/>
    <col min="1027" max="1027" width="11" style="3" bestFit="1" customWidth="1"/>
    <col min="1028" max="1028" width="16" style="3" bestFit="1" customWidth="1"/>
    <col min="1029" max="1029" width="16.140625" style="3" bestFit="1" customWidth="1"/>
    <col min="1030" max="1031" width="14.5703125" style="3" customWidth="1"/>
    <col min="1032" max="1032" width="19.28515625" style="3" customWidth="1"/>
    <col min="1033" max="1281" width="9.140625" style="3"/>
    <col min="1282" max="1282" width="13.7109375" style="3" customWidth="1"/>
    <col min="1283" max="1283" width="11" style="3" bestFit="1" customWidth="1"/>
    <col min="1284" max="1284" width="16" style="3" bestFit="1" customWidth="1"/>
    <col min="1285" max="1285" width="16.140625" style="3" bestFit="1" customWidth="1"/>
    <col min="1286" max="1287" width="14.5703125" style="3" customWidth="1"/>
    <col min="1288" max="1288" width="19.28515625" style="3" customWidth="1"/>
    <col min="1289" max="1537" width="9.140625" style="3"/>
    <col min="1538" max="1538" width="13.7109375" style="3" customWidth="1"/>
    <col min="1539" max="1539" width="11" style="3" bestFit="1" customWidth="1"/>
    <col min="1540" max="1540" width="16" style="3" bestFit="1" customWidth="1"/>
    <col min="1541" max="1541" width="16.140625" style="3" bestFit="1" customWidth="1"/>
    <col min="1542" max="1543" width="14.5703125" style="3" customWidth="1"/>
    <col min="1544" max="1544" width="19.28515625" style="3" customWidth="1"/>
    <col min="1545" max="1793" width="9.140625" style="3"/>
    <col min="1794" max="1794" width="13.7109375" style="3" customWidth="1"/>
    <col min="1795" max="1795" width="11" style="3" bestFit="1" customWidth="1"/>
    <col min="1796" max="1796" width="16" style="3" bestFit="1" customWidth="1"/>
    <col min="1797" max="1797" width="16.140625" style="3" bestFit="1" customWidth="1"/>
    <col min="1798" max="1799" width="14.5703125" style="3" customWidth="1"/>
    <col min="1800" max="1800" width="19.28515625" style="3" customWidth="1"/>
    <col min="1801" max="2049" width="9.140625" style="3"/>
    <col min="2050" max="2050" width="13.7109375" style="3" customWidth="1"/>
    <col min="2051" max="2051" width="11" style="3" bestFit="1" customWidth="1"/>
    <col min="2052" max="2052" width="16" style="3" bestFit="1" customWidth="1"/>
    <col min="2053" max="2053" width="16.140625" style="3" bestFit="1" customWidth="1"/>
    <col min="2054" max="2055" width="14.5703125" style="3" customWidth="1"/>
    <col min="2056" max="2056" width="19.28515625" style="3" customWidth="1"/>
    <col min="2057" max="2305" width="9.140625" style="3"/>
    <col min="2306" max="2306" width="13.7109375" style="3" customWidth="1"/>
    <col min="2307" max="2307" width="11" style="3" bestFit="1" customWidth="1"/>
    <col min="2308" max="2308" width="16" style="3" bestFit="1" customWidth="1"/>
    <col min="2309" max="2309" width="16.140625" style="3" bestFit="1" customWidth="1"/>
    <col min="2310" max="2311" width="14.5703125" style="3" customWidth="1"/>
    <col min="2312" max="2312" width="19.28515625" style="3" customWidth="1"/>
    <col min="2313" max="2561" width="9.140625" style="3"/>
    <col min="2562" max="2562" width="13.7109375" style="3" customWidth="1"/>
    <col min="2563" max="2563" width="11" style="3" bestFit="1" customWidth="1"/>
    <col min="2564" max="2564" width="16" style="3" bestFit="1" customWidth="1"/>
    <col min="2565" max="2565" width="16.140625" style="3" bestFit="1" customWidth="1"/>
    <col min="2566" max="2567" width="14.5703125" style="3" customWidth="1"/>
    <col min="2568" max="2568" width="19.28515625" style="3" customWidth="1"/>
    <col min="2569" max="2817" width="9.140625" style="3"/>
    <col min="2818" max="2818" width="13.7109375" style="3" customWidth="1"/>
    <col min="2819" max="2819" width="11" style="3" bestFit="1" customWidth="1"/>
    <col min="2820" max="2820" width="16" style="3" bestFit="1" customWidth="1"/>
    <col min="2821" max="2821" width="16.140625" style="3" bestFit="1" customWidth="1"/>
    <col min="2822" max="2823" width="14.5703125" style="3" customWidth="1"/>
    <col min="2824" max="2824" width="19.28515625" style="3" customWidth="1"/>
    <col min="2825" max="3073" width="9.140625" style="3"/>
    <col min="3074" max="3074" width="13.7109375" style="3" customWidth="1"/>
    <col min="3075" max="3075" width="11" style="3" bestFit="1" customWidth="1"/>
    <col min="3076" max="3076" width="16" style="3" bestFit="1" customWidth="1"/>
    <col min="3077" max="3077" width="16.140625" style="3" bestFit="1" customWidth="1"/>
    <col min="3078" max="3079" width="14.5703125" style="3" customWidth="1"/>
    <col min="3080" max="3080" width="19.28515625" style="3" customWidth="1"/>
    <col min="3081" max="3329" width="9.140625" style="3"/>
    <col min="3330" max="3330" width="13.7109375" style="3" customWidth="1"/>
    <col min="3331" max="3331" width="11" style="3" bestFit="1" customWidth="1"/>
    <col min="3332" max="3332" width="16" style="3" bestFit="1" customWidth="1"/>
    <col min="3333" max="3333" width="16.140625" style="3" bestFit="1" customWidth="1"/>
    <col min="3334" max="3335" width="14.5703125" style="3" customWidth="1"/>
    <col min="3336" max="3336" width="19.28515625" style="3" customWidth="1"/>
    <col min="3337" max="3585" width="9.140625" style="3"/>
    <col min="3586" max="3586" width="13.7109375" style="3" customWidth="1"/>
    <col min="3587" max="3587" width="11" style="3" bestFit="1" customWidth="1"/>
    <col min="3588" max="3588" width="16" style="3" bestFit="1" customWidth="1"/>
    <col min="3589" max="3589" width="16.140625" style="3" bestFit="1" customWidth="1"/>
    <col min="3590" max="3591" width="14.5703125" style="3" customWidth="1"/>
    <col min="3592" max="3592" width="19.28515625" style="3" customWidth="1"/>
    <col min="3593" max="3841" width="9.140625" style="3"/>
    <col min="3842" max="3842" width="13.7109375" style="3" customWidth="1"/>
    <col min="3843" max="3843" width="11" style="3" bestFit="1" customWidth="1"/>
    <col min="3844" max="3844" width="16" style="3" bestFit="1" customWidth="1"/>
    <col min="3845" max="3845" width="16.140625" style="3" bestFit="1" customWidth="1"/>
    <col min="3846" max="3847" width="14.5703125" style="3" customWidth="1"/>
    <col min="3848" max="3848" width="19.28515625" style="3" customWidth="1"/>
    <col min="3849" max="4097" width="9.140625" style="3"/>
    <col min="4098" max="4098" width="13.7109375" style="3" customWidth="1"/>
    <col min="4099" max="4099" width="11" style="3" bestFit="1" customWidth="1"/>
    <col min="4100" max="4100" width="16" style="3" bestFit="1" customWidth="1"/>
    <col min="4101" max="4101" width="16.140625" style="3" bestFit="1" customWidth="1"/>
    <col min="4102" max="4103" width="14.5703125" style="3" customWidth="1"/>
    <col min="4104" max="4104" width="19.28515625" style="3" customWidth="1"/>
    <col min="4105" max="4353" width="9.140625" style="3"/>
    <col min="4354" max="4354" width="13.7109375" style="3" customWidth="1"/>
    <col min="4355" max="4355" width="11" style="3" bestFit="1" customWidth="1"/>
    <col min="4356" max="4356" width="16" style="3" bestFit="1" customWidth="1"/>
    <col min="4357" max="4357" width="16.140625" style="3" bestFit="1" customWidth="1"/>
    <col min="4358" max="4359" width="14.5703125" style="3" customWidth="1"/>
    <col min="4360" max="4360" width="19.28515625" style="3" customWidth="1"/>
    <col min="4361" max="4609" width="9.140625" style="3"/>
    <col min="4610" max="4610" width="13.7109375" style="3" customWidth="1"/>
    <col min="4611" max="4611" width="11" style="3" bestFit="1" customWidth="1"/>
    <col min="4612" max="4612" width="16" style="3" bestFit="1" customWidth="1"/>
    <col min="4613" max="4613" width="16.140625" style="3" bestFit="1" customWidth="1"/>
    <col min="4614" max="4615" width="14.5703125" style="3" customWidth="1"/>
    <col min="4616" max="4616" width="19.28515625" style="3" customWidth="1"/>
    <col min="4617" max="4865" width="9.140625" style="3"/>
    <col min="4866" max="4866" width="13.7109375" style="3" customWidth="1"/>
    <col min="4867" max="4867" width="11" style="3" bestFit="1" customWidth="1"/>
    <col min="4868" max="4868" width="16" style="3" bestFit="1" customWidth="1"/>
    <col min="4869" max="4869" width="16.140625" style="3" bestFit="1" customWidth="1"/>
    <col min="4870" max="4871" width="14.5703125" style="3" customWidth="1"/>
    <col min="4872" max="4872" width="19.28515625" style="3" customWidth="1"/>
    <col min="4873" max="5121" width="9.140625" style="3"/>
    <col min="5122" max="5122" width="13.7109375" style="3" customWidth="1"/>
    <col min="5123" max="5123" width="11" style="3" bestFit="1" customWidth="1"/>
    <col min="5124" max="5124" width="16" style="3" bestFit="1" customWidth="1"/>
    <col min="5125" max="5125" width="16.140625" style="3" bestFit="1" customWidth="1"/>
    <col min="5126" max="5127" width="14.5703125" style="3" customWidth="1"/>
    <col min="5128" max="5128" width="19.28515625" style="3" customWidth="1"/>
    <col min="5129" max="5377" width="9.140625" style="3"/>
    <col min="5378" max="5378" width="13.7109375" style="3" customWidth="1"/>
    <col min="5379" max="5379" width="11" style="3" bestFit="1" customWidth="1"/>
    <col min="5380" max="5380" width="16" style="3" bestFit="1" customWidth="1"/>
    <col min="5381" max="5381" width="16.140625" style="3" bestFit="1" customWidth="1"/>
    <col min="5382" max="5383" width="14.5703125" style="3" customWidth="1"/>
    <col min="5384" max="5384" width="19.28515625" style="3" customWidth="1"/>
    <col min="5385" max="5633" width="9.140625" style="3"/>
    <col min="5634" max="5634" width="13.7109375" style="3" customWidth="1"/>
    <col min="5635" max="5635" width="11" style="3" bestFit="1" customWidth="1"/>
    <col min="5636" max="5636" width="16" style="3" bestFit="1" customWidth="1"/>
    <col min="5637" max="5637" width="16.140625" style="3" bestFit="1" customWidth="1"/>
    <col min="5638" max="5639" width="14.5703125" style="3" customWidth="1"/>
    <col min="5640" max="5640" width="19.28515625" style="3" customWidth="1"/>
    <col min="5641" max="5889" width="9.140625" style="3"/>
    <col min="5890" max="5890" width="13.7109375" style="3" customWidth="1"/>
    <col min="5891" max="5891" width="11" style="3" bestFit="1" customWidth="1"/>
    <col min="5892" max="5892" width="16" style="3" bestFit="1" customWidth="1"/>
    <col min="5893" max="5893" width="16.140625" style="3" bestFit="1" customWidth="1"/>
    <col min="5894" max="5895" width="14.5703125" style="3" customWidth="1"/>
    <col min="5896" max="5896" width="19.28515625" style="3" customWidth="1"/>
    <col min="5897" max="6145" width="9.140625" style="3"/>
    <col min="6146" max="6146" width="13.7109375" style="3" customWidth="1"/>
    <col min="6147" max="6147" width="11" style="3" bestFit="1" customWidth="1"/>
    <col min="6148" max="6148" width="16" style="3" bestFit="1" customWidth="1"/>
    <col min="6149" max="6149" width="16.140625" style="3" bestFit="1" customWidth="1"/>
    <col min="6150" max="6151" width="14.5703125" style="3" customWidth="1"/>
    <col min="6152" max="6152" width="19.28515625" style="3" customWidth="1"/>
    <col min="6153" max="6401" width="9.140625" style="3"/>
    <col min="6402" max="6402" width="13.7109375" style="3" customWidth="1"/>
    <col min="6403" max="6403" width="11" style="3" bestFit="1" customWidth="1"/>
    <col min="6404" max="6404" width="16" style="3" bestFit="1" customWidth="1"/>
    <col min="6405" max="6405" width="16.140625" style="3" bestFit="1" customWidth="1"/>
    <col min="6406" max="6407" width="14.5703125" style="3" customWidth="1"/>
    <col min="6408" max="6408" width="19.28515625" style="3" customWidth="1"/>
    <col min="6409" max="6657" width="9.140625" style="3"/>
    <col min="6658" max="6658" width="13.7109375" style="3" customWidth="1"/>
    <col min="6659" max="6659" width="11" style="3" bestFit="1" customWidth="1"/>
    <col min="6660" max="6660" width="16" style="3" bestFit="1" customWidth="1"/>
    <col min="6661" max="6661" width="16.140625" style="3" bestFit="1" customWidth="1"/>
    <col min="6662" max="6663" width="14.5703125" style="3" customWidth="1"/>
    <col min="6664" max="6664" width="19.28515625" style="3" customWidth="1"/>
    <col min="6665" max="6913" width="9.140625" style="3"/>
    <col min="6914" max="6914" width="13.7109375" style="3" customWidth="1"/>
    <col min="6915" max="6915" width="11" style="3" bestFit="1" customWidth="1"/>
    <col min="6916" max="6916" width="16" style="3" bestFit="1" customWidth="1"/>
    <col min="6917" max="6917" width="16.140625" style="3" bestFit="1" customWidth="1"/>
    <col min="6918" max="6919" width="14.5703125" style="3" customWidth="1"/>
    <col min="6920" max="6920" width="19.28515625" style="3" customWidth="1"/>
    <col min="6921" max="7169" width="9.140625" style="3"/>
    <col min="7170" max="7170" width="13.7109375" style="3" customWidth="1"/>
    <col min="7171" max="7171" width="11" style="3" bestFit="1" customWidth="1"/>
    <col min="7172" max="7172" width="16" style="3" bestFit="1" customWidth="1"/>
    <col min="7173" max="7173" width="16.140625" style="3" bestFit="1" customWidth="1"/>
    <col min="7174" max="7175" width="14.5703125" style="3" customWidth="1"/>
    <col min="7176" max="7176" width="19.28515625" style="3" customWidth="1"/>
    <col min="7177" max="7425" width="9.140625" style="3"/>
    <col min="7426" max="7426" width="13.7109375" style="3" customWidth="1"/>
    <col min="7427" max="7427" width="11" style="3" bestFit="1" customWidth="1"/>
    <col min="7428" max="7428" width="16" style="3" bestFit="1" customWidth="1"/>
    <col min="7429" max="7429" width="16.140625" style="3" bestFit="1" customWidth="1"/>
    <col min="7430" max="7431" width="14.5703125" style="3" customWidth="1"/>
    <col min="7432" max="7432" width="19.28515625" style="3" customWidth="1"/>
    <col min="7433" max="7681" width="9.140625" style="3"/>
    <col min="7682" max="7682" width="13.7109375" style="3" customWidth="1"/>
    <col min="7683" max="7683" width="11" style="3" bestFit="1" customWidth="1"/>
    <col min="7684" max="7684" width="16" style="3" bestFit="1" customWidth="1"/>
    <col min="7685" max="7685" width="16.140625" style="3" bestFit="1" customWidth="1"/>
    <col min="7686" max="7687" width="14.5703125" style="3" customWidth="1"/>
    <col min="7688" max="7688" width="19.28515625" style="3" customWidth="1"/>
    <col min="7689" max="7937" width="9.140625" style="3"/>
    <col min="7938" max="7938" width="13.7109375" style="3" customWidth="1"/>
    <col min="7939" max="7939" width="11" style="3" bestFit="1" customWidth="1"/>
    <col min="7940" max="7940" width="16" style="3" bestFit="1" customWidth="1"/>
    <col min="7941" max="7941" width="16.140625" style="3" bestFit="1" customWidth="1"/>
    <col min="7942" max="7943" width="14.5703125" style="3" customWidth="1"/>
    <col min="7944" max="7944" width="19.28515625" style="3" customWidth="1"/>
    <col min="7945" max="8193" width="9.140625" style="3"/>
    <col min="8194" max="8194" width="13.7109375" style="3" customWidth="1"/>
    <col min="8195" max="8195" width="11" style="3" bestFit="1" customWidth="1"/>
    <col min="8196" max="8196" width="16" style="3" bestFit="1" customWidth="1"/>
    <col min="8197" max="8197" width="16.140625" style="3" bestFit="1" customWidth="1"/>
    <col min="8198" max="8199" width="14.5703125" style="3" customWidth="1"/>
    <col min="8200" max="8200" width="19.28515625" style="3" customWidth="1"/>
    <col min="8201" max="8449" width="9.140625" style="3"/>
    <col min="8450" max="8450" width="13.7109375" style="3" customWidth="1"/>
    <col min="8451" max="8451" width="11" style="3" bestFit="1" customWidth="1"/>
    <col min="8452" max="8452" width="16" style="3" bestFit="1" customWidth="1"/>
    <col min="8453" max="8453" width="16.140625" style="3" bestFit="1" customWidth="1"/>
    <col min="8454" max="8455" width="14.5703125" style="3" customWidth="1"/>
    <col min="8456" max="8456" width="19.28515625" style="3" customWidth="1"/>
    <col min="8457" max="8705" width="9.140625" style="3"/>
    <col min="8706" max="8706" width="13.7109375" style="3" customWidth="1"/>
    <col min="8707" max="8707" width="11" style="3" bestFit="1" customWidth="1"/>
    <col min="8708" max="8708" width="16" style="3" bestFit="1" customWidth="1"/>
    <col min="8709" max="8709" width="16.140625" style="3" bestFit="1" customWidth="1"/>
    <col min="8710" max="8711" width="14.5703125" style="3" customWidth="1"/>
    <col min="8712" max="8712" width="19.28515625" style="3" customWidth="1"/>
    <col min="8713" max="8961" width="9.140625" style="3"/>
    <col min="8962" max="8962" width="13.7109375" style="3" customWidth="1"/>
    <col min="8963" max="8963" width="11" style="3" bestFit="1" customWidth="1"/>
    <col min="8964" max="8964" width="16" style="3" bestFit="1" customWidth="1"/>
    <col min="8965" max="8965" width="16.140625" style="3" bestFit="1" customWidth="1"/>
    <col min="8966" max="8967" width="14.5703125" style="3" customWidth="1"/>
    <col min="8968" max="8968" width="19.28515625" style="3" customWidth="1"/>
    <col min="8969" max="9217" width="9.140625" style="3"/>
    <col min="9218" max="9218" width="13.7109375" style="3" customWidth="1"/>
    <col min="9219" max="9219" width="11" style="3" bestFit="1" customWidth="1"/>
    <col min="9220" max="9220" width="16" style="3" bestFit="1" customWidth="1"/>
    <col min="9221" max="9221" width="16.140625" style="3" bestFit="1" customWidth="1"/>
    <col min="9222" max="9223" width="14.5703125" style="3" customWidth="1"/>
    <col min="9224" max="9224" width="19.28515625" style="3" customWidth="1"/>
    <col min="9225" max="9473" width="9.140625" style="3"/>
    <col min="9474" max="9474" width="13.7109375" style="3" customWidth="1"/>
    <col min="9475" max="9475" width="11" style="3" bestFit="1" customWidth="1"/>
    <col min="9476" max="9476" width="16" style="3" bestFit="1" customWidth="1"/>
    <col min="9477" max="9477" width="16.140625" style="3" bestFit="1" customWidth="1"/>
    <col min="9478" max="9479" width="14.5703125" style="3" customWidth="1"/>
    <col min="9480" max="9480" width="19.28515625" style="3" customWidth="1"/>
    <col min="9481" max="9729" width="9.140625" style="3"/>
    <col min="9730" max="9730" width="13.7109375" style="3" customWidth="1"/>
    <col min="9731" max="9731" width="11" style="3" bestFit="1" customWidth="1"/>
    <col min="9732" max="9732" width="16" style="3" bestFit="1" customWidth="1"/>
    <col min="9733" max="9733" width="16.140625" style="3" bestFit="1" customWidth="1"/>
    <col min="9734" max="9735" width="14.5703125" style="3" customWidth="1"/>
    <col min="9736" max="9736" width="19.28515625" style="3" customWidth="1"/>
    <col min="9737" max="9985" width="9.140625" style="3"/>
    <col min="9986" max="9986" width="13.7109375" style="3" customWidth="1"/>
    <col min="9987" max="9987" width="11" style="3" bestFit="1" customWidth="1"/>
    <col min="9988" max="9988" width="16" style="3" bestFit="1" customWidth="1"/>
    <col min="9989" max="9989" width="16.140625" style="3" bestFit="1" customWidth="1"/>
    <col min="9990" max="9991" width="14.5703125" style="3" customWidth="1"/>
    <col min="9992" max="9992" width="19.28515625" style="3" customWidth="1"/>
    <col min="9993" max="10241" width="9.140625" style="3"/>
    <col min="10242" max="10242" width="13.7109375" style="3" customWidth="1"/>
    <col min="10243" max="10243" width="11" style="3" bestFit="1" customWidth="1"/>
    <col min="10244" max="10244" width="16" style="3" bestFit="1" customWidth="1"/>
    <col min="10245" max="10245" width="16.140625" style="3" bestFit="1" customWidth="1"/>
    <col min="10246" max="10247" width="14.5703125" style="3" customWidth="1"/>
    <col min="10248" max="10248" width="19.28515625" style="3" customWidth="1"/>
    <col min="10249" max="10497" width="9.140625" style="3"/>
    <col min="10498" max="10498" width="13.7109375" style="3" customWidth="1"/>
    <col min="10499" max="10499" width="11" style="3" bestFit="1" customWidth="1"/>
    <col min="10500" max="10500" width="16" style="3" bestFit="1" customWidth="1"/>
    <col min="10501" max="10501" width="16.140625" style="3" bestFit="1" customWidth="1"/>
    <col min="10502" max="10503" width="14.5703125" style="3" customWidth="1"/>
    <col min="10504" max="10504" width="19.28515625" style="3" customWidth="1"/>
    <col min="10505" max="10753" width="9.140625" style="3"/>
    <col min="10754" max="10754" width="13.7109375" style="3" customWidth="1"/>
    <col min="10755" max="10755" width="11" style="3" bestFit="1" customWidth="1"/>
    <col min="10756" max="10756" width="16" style="3" bestFit="1" customWidth="1"/>
    <col min="10757" max="10757" width="16.140625" style="3" bestFit="1" customWidth="1"/>
    <col min="10758" max="10759" width="14.5703125" style="3" customWidth="1"/>
    <col min="10760" max="10760" width="19.28515625" style="3" customWidth="1"/>
    <col min="10761" max="11009" width="9.140625" style="3"/>
    <col min="11010" max="11010" width="13.7109375" style="3" customWidth="1"/>
    <col min="11011" max="11011" width="11" style="3" bestFit="1" customWidth="1"/>
    <col min="11012" max="11012" width="16" style="3" bestFit="1" customWidth="1"/>
    <col min="11013" max="11013" width="16.140625" style="3" bestFit="1" customWidth="1"/>
    <col min="11014" max="11015" width="14.5703125" style="3" customWidth="1"/>
    <col min="11016" max="11016" width="19.28515625" style="3" customWidth="1"/>
    <col min="11017" max="11265" width="9.140625" style="3"/>
    <col min="11266" max="11266" width="13.7109375" style="3" customWidth="1"/>
    <col min="11267" max="11267" width="11" style="3" bestFit="1" customWidth="1"/>
    <col min="11268" max="11268" width="16" style="3" bestFit="1" customWidth="1"/>
    <col min="11269" max="11269" width="16.140625" style="3" bestFit="1" customWidth="1"/>
    <col min="11270" max="11271" width="14.5703125" style="3" customWidth="1"/>
    <col min="11272" max="11272" width="19.28515625" style="3" customWidth="1"/>
    <col min="11273" max="11521" width="9.140625" style="3"/>
    <col min="11522" max="11522" width="13.7109375" style="3" customWidth="1"/>
    <col min="11523" max="11523" width="11" style="3" bestFit="1" customWidth="1"/>
    <col min="11524" max="11524" width="16" style="3" bestFit="1" customWidth="1"/>
    <col min="11525" max="11525" width="16.140625" style="3" bestFit="1" customWidth="1"/>
    <col min="11526" max="11527" width="14.5703125" style="3" customWidth="1"/>
    <col min="11528" max="11528" width="19.28515625" style="3" customWidth="1"/>
    <col min="11529" max="11777" width="9.140625" style="3"/>
    <col min="11778" max="11778" width="13.7109375" style="3" customWidth="1"/>
    <col min="11779" max="11779" width="11" style="3" bestFit="1" customWidth="1"/>
    <col min="11780" max="11780" width="16" style="3" bestFit="1" customWidth="1"/>
    <col min="11781" max="11781" width="16.140625" style="3" bestFit="1" customWidth="1"/>
    <col min="11782" max="11783" width="14.5703125" style="3" customWidth="1"/>
    <col min="11784" max="11784" width="19.28515625" style="3" customWidth="1"/>
    <col min="11785" max="12033" width="9.140625" style="3"/>
    <col min="12034" max="12034" width="13.7109375" style="3" customWidth="1"/>
    <col min="12035" max="12035" width="11" style="3" bestFit="1" customWidth="1"/>
    <col min="12036" max="12036" width="16" style="3" bestFit="1" customWidth="1"/>
    <col min="12037" max="12037" width="16.140625" style="3" bestFit="1" customWidth="1"/>
    <col min="12038" max="12039" width="14.5703125" style="3" customWidth="1"/>
    <col min="12040" max="12040" width="19.28515625" style="3" customWidth="1"/>
    <col min="12041" max="12289" width="9.140625" style="3"/>
    <col min="12290" max="12290" width="13.7109375" style="3" customWidth="1"/>
    <col min="12291" max="12291" width="11" style="3" bestFit="1" customWidth="1"/>
    <col min="12292" max="12292" width="16" style="3" bestFit="1" customWidth="1"/>
    <col min="12293" max="12293" width="16.140625" style="3" bestFit="1" customWidth="1"/>
    <col min="12294" max="12295" width="14.5703125" style="3" customWidth="1"/>
    <col min="12296" max="12296" width="19.28515625" style="3" customWidth="1"/>
    <col min="12297" max="12545" width="9.140625" style="3"/>
    <col min="12546" max="12546" width="13.7109375" style="3" customWidth="1"/>
    <col min="12547" max="12547" width="11" style="3" bestFit="1" customWidth="1"/>
    <col min="12548" max="12548" width="16" style="3" bestFit="1" customWidth="1"/>
    <col min="12549" max="12549" width="16.140625" style="3" bestFit="1" customWidth="1"/>
    <col min="12550" max="12551" width="14.5703125" style="3" customWidth="1"/>
    <col min="12552" max="12552" width="19.28515625" style="3" customWidth="1"/>
    <col min="12553" max="12801" width="9.140625" style="3"/>
    <col min="12802" max="12802" width="13.7109375" style="3" customWidth="1"/>
    <col min="12803" max="12803" width="11" style="3" bestFit="1" customWidth="1"/>
    <col min="12804" max="12804" width="16" style="3" bestFit="1" customWidth="1"/>
    <col min="12805" max="12805" width="16.140625" style="3" bestFit="1" customWidth="1"/>
    <col min="12806" max="12807" width="14.5703125" style="3" customWidth="1"/>
    <col min="12808" max="12808" width="19.28515625" style="3" customWidth="1"/>
    <col min="12809" max="13057" width="9.140625" style="3"/>
    <col min="13058" max="13058" width="13.7109375" style="3" customWidth="1"/>
    <col min="13059" max="13059" width="11" style="3" bestFit="1" customWidth="1"/>
    <col min="13060" max="13060" width="16" style="3" bestFit="1" customWidth="1"/>
    <col min="13061" max="13061" width="16.140625" style="3" bestFit="1" customWidth="1"/>
    <col min="13062" max="13063" width="14.5703125" style="3" customWidth="1"/>
    <col min="13064" max="13064" width="19.28515625" style="3" customWidth="1"/>
    <col min="13065" max="13313" width="9.140625" style="3"/>
    <col min="13314" max="13314" width="13.7109375" style="3" customWidth="1"/>
    <col min="13315" max="13315" width="11" style="3" bestFit="1" customWidth="1"/>
    <col min="13316" max="13316" width="16" style="3" bestFit="1" customWidth="1"/>
    <col min="13317" max="13317" width="16.140625" style="3" bestFit="1" customWidth="1"/>
    <col min="13318" max="13319" width="14.5703125" style="3" customWidth="1"/>
    <col min="13320" max="13320" width="19.28515625" style="3" customWidth="1"/>
    <col min="13321" max="13569" width="9.140625" style="3"/>
    <col min="13570" max="13570" width="13.7109375" style="3" customWidth="1"/>
    <col min="13571" max="13571" width="11" style="3" bestFit="1" customWidth="1"/>
    <col min="13572" max="13572" width="16" style="3" bestFit="1" customWidth="1"/>
    <col min="13573" max="13573" width="16.140625" style="3" bestFit="1" customWidth="1"/>
    <col min="13574" max="13575" width="14.5703125" style="3" customWidth="1"/>
    <col min="13576" max="13576" width="19.28515625" style="3" customWidth="1"/>
    <col min="13577" max="13825" width="9.140625" style="3"/>
    <col min="13826" max="13826" width="13.7109375" style="3" customWidth="1"/>
    <col min="13827" max="13827" width="11" style="3" bestFit="1" customWidth="1"/>
    <col min="13828" max="13828" width="16" style="3" bestFit="1" customWidth="1"/>
    <col min="13829" max="13829" width="16.140625" style="3" bestFit="1" customWidth="1"/>
    <col min="13830" max="13831" width="14.5703125" style="3" customWidth="1"/>
    <col min="13832" max="13832" width="19.28515625" style="3" customWidth="1"/>
    <col min="13833" max="14081" width="9.140625" style="3"/>
    <col min="14082" max="14082" width="13.7109375" style="3" customWidth="1"/>
    <col min="14083" max="14083" width="11" style="3" bestFit="1" customWidth="1"/>
    <col min="14084" max="14084" width="16" style="3" bestFit="1" customWidth="1"/>
    <col min="14085" max="14085" width="16.140625" style="3" bestFit="1" customWidth="1"/>
    <col min="14086" max="14087" width="14.5703125" style="3" customWidth="1"/>
    <col min="14088" max="14088" width="19.28515625" style="3" customWidth="1"/>
    <col min="14089" max="14337" width="9.140625" style="3"/>
    <col min="14338" max="14338" width="13.7109375" style="3" customWidth="1"/>
    <col min="14339" max="14339" width="11" style="3" bestFit="1" customWidth="1"/>
    <col min="14340" max="14340" width="16" style="3" bestFit="1" customWidth="1"/>
    <col min="14341" max="14341" width="16.140625" style="3" bestFit="1" customWidth="1"/>
    <col min="14342" max="14343" width="14.5703125" style="3" customWidth="1"/>
    <col min="14344" max="14344" width="19.28515625" style="3" customWidth="1"/>
    <col min="14345" max="14593" width="9.140625" style="3"/>
    <col min="14594" max="14594" width="13.7109375" style="3" customWidth="1"/>
    <col min="14595" max="14595" width="11" style="3" bestFit="1" customWidth="1"/>
    <col min="14596" max="14596" width="16" style="3" bestFit="1" customWidth="1"/>
    <col min="14597" max="14597" width="16.140625" style="3" bestFit="1" customWidth="1"/>
    <col min="14598" max="14599" width="14.5703125" style="3" customWidth="1"/>
    <col min="14600" max="14600" width="19.28515625" style="3" customWidth="1"/>
    <col min="14601" max="14849" width="9.140625" style="3"/>
    <col min="14850" max="14850" width="13.7109375" style="3" customWidth="1"/>
    <col min="14851" max="14851" width="11" style="3" bestFit="1" customWidth="1"/>
    <col min="14852" max="14852" width="16" style="3" bestFit="1" customWidth="1"/>
    <col min="14853" max="14853" width="16.140625" style="3" bestFit="1" customWidth="1"/>
    <col min="14854" max="14855" width="14.5703125" style="3" customWidth="1"/>
    <col min="14856" max="14856" width="19.28515625" style="3" customWidth="1"/>
    <col min="14857" max="15105" width="9.140625" style="3"/>
    <col min="15106" max="15106" width="13.7109375" style="3" customWidth="1"/>
    <col min="15107" max="15107" width="11" style="3" bestFit="1" customWidth="1"/>
    <col min="15108" max="15108" width="16" style="3" bestFit="1" customWidth="1"/>
    <col min="15109" max="15109" width="16.140625" style="3" bestFit="1" customWidth="1"/>
    <col min="15110" max="15111" width="14.5703125" style="3" customWidth="1"/>
    <col min="15112" max="15112" width="19.28515625" style="3" customWidth="1"/>
    <col min="15113" max="15361" width="9.140625" style="3"/>
    <col min="15362" max="15362" width="13.7109375" style="3" customWidth="1"/>
    <col min="15363" max="15363" width="11" style="3" bestFit="1" customWidth="1"/>
    <col min="15364" max="15364" width="16" style="3" bestFit="1" customWidth="1"/>
    <col min="15365" max="15365" width="16.140625" style="3" bestFit="1" customWidth="1"/>
    <col min="15366" max="15367" width="14.5703125" style="3" customWidth="1"/>
    <col min="15368" max="15368" width="19.28515625" style="3" customWidth="1"/>
    <col min="15369" max="15617" width="9.140625" style="3"/>
    <col min="15618" max="15618" width="13.7109375" style="3" customWidth="1"/>
    <col min="15619" max="15619" width="11" style="3" bestFit="1" customWidth="1"/>
    <col min="15620" max="15620" width="16" style="3" bestFit="1" customWidth="1"/>
    <col min="15621" max="15621" width="16.140625" style="3" bestFit="1" customWidth="1"/>
    <col min="15622" max="15623" width="14.5703125" style="3" customWidth="1"/>
    <col min="15624" max="15624" width="19.28515625" style="3" customWidth="1"/>
    <col min="15625" max="15873" width="9.140625" style="3"/>
    <col min="15874" max="15874" width="13.7109375" style="3" customWidth="1"/>
    <col min="15875" max="15875" width="11" style="3" bestFit="1" customWidth="1"/>
    <col min="15876" max="15876" width="16" style="3" bestFit="1" customWidth="1"/>
    <col min="15877" max="15877" width="16.140625" style="3" bestFit="1" customWidth="1"/>
    <col min="15878" max="15879" width="14.5703125" style="3" customWidth="1"/>
    <col min="15880" max="15880" width="19.28515625" style="3" customWidth="1"/>
    <col min="15881" max="16129" width="9.140625" style="3"/>
    <col min="16130" max="16130" width="13.7109375" style="3" customWidth="1"/>
    <col min="16131" max="16131" width="11" style="3" bestFit="1" customWidth="1"/>
    <col min="16132" max="16132" width="16" style="3" bestFit="1" customWidth="1"/>
    <col min="16133" max="16133" width="16.140625" style="3" bestFit="1" customWidth="1"/>
    <col min="16134" max="16135" width="14.5703125" style="3" customWidth="1"/>
    <col min="16136" max="16136" width="19.28515625" style="3" customWidth="1"/>
    <col min="16137" max="16384" width="9.140625" style="3"/>
  </cols>
  <sheetData>
    <row r="1" spans="1:10" ht="15.75" x14ac:dyDescent="0.25">
      <c r="A1" s="99" t="str">
        <f>Scrap_Sale!A1</f>
        <v>XXXXXXXX  Depot</v>
      </c>
      <c r="B1" s="99"/>
      <c r="C1" s="99"/>
      <c r="D1" s="99"/>
      <c r="E1" s="99"/>
      <c r="F1" s="99"/>
      <c r="G1" s="99"/>
      <c r="H1" s="99"/>
    </row>
    <row r="2" spans="1:10" ht="15.75" x14ac:dyDescent="0.25">
      <c r="A2" s="99" t="s">
        <v>46</v>
      </c>
      <c r="B2" s="99"/>
      <c r="C2" s="99"/>
      <c r="D2" s="99"/>
      <c r="E2" s="99"/>
      <c r="F2" s="99"/>
      <c r="G2" s="99"/>
      <c r="H2" s="99"/>
    </row>
    <row r="3" spans="1:10" x14ac:dyDescent="0.25">
      <c r="A3" s="100" t="str">
        <f ca="1">Scrap_Sale!A3</f>
        <v>From Jan-25 to Dec-25</v>
      </c>
      <c r="B3" s="100"/>
      <c r="C3" s="100"/>
      <c r="D3" s="100"/>
      <c r="E3" s="100"/>
      <c r="F3" s="100"/>
      <c r="G3" s="100"/>
      <c r="H3" s="100"/>
    </row>
    <row r="4" spans="1:10" ht="15" x14ac:dyDescent="0.25">
      <c r="A4" s="1" t="s">
        <v>9</v>
      </c>
      <c r="B4" s="101" t="s">
        <v>57</v>
      </c>
      <c r="C4" s="101"/>
      <c r="D4" s="101"/>
      <c r="E4" s="101"/>
      <c r="F4" s="2"/>
      <c r="G4" s="2"/>
      <c r="H4" s="2"/>
    </row>
    <row r="5" spans="1:10" x14ac:dyDescent="0.25">
      <c r="A5" s="1" t="s">
        <v>52</v>
      </c>
      <c r="B5" s="11" t="s">
        <v>55</v>
      </c>
      <c r="C5" s="2"/>
      <c r="D5" s="2"/>
      <c r="E5" s="2"/>
      <c r="F5" s="2"/>
      <c r="G5" s="2"/>
      <c r="H5" s="2"/>
    </row>
    <row r="6" spans="1:10" x14ac:dyDescent="0.25">
      <c r="A6" s="1" t="s">
        <v>56</v>
      </c>
      <c r="B6" s="11"/>
      <c r="C6" s="2"/>
      <c r="D6" s="2"/>
      <c r="E6" s="2"/>
      <c r="F6" s="2"/>
      <c r="G6" s="2"/>
      <c r="H6" s="2"/>
    </row>
    <row r="7" spans="1:10" s="2" customFormat="1" ht="28.5" customHeight="1" x14ac:dyDescent="0.25">
      <c r="A7" s="70" t="s">
        <v>1</v>
      </c>
      <c r="B7" s="71" t="s">
        <v>14</v>
      </c>
      <c r="C7" s="71" t="s">
        <v>15</v>
      </c>
      <c r="D7" s="40" t="s">
        <v>44</v>
      </c>
      <c r="E7" s="93" t="s">
        <v>45</v>
      </c>
      <c r="F7" s="72" t="s">
        <v>10</v>
      </c>
      <c r="G7" s="72" t="s">
        <v>11</v>
      </c>
      <c r="H7" s="73" t="s">
        <v>12</v>
      </c>
    </row>
    <row r="8" spans="1:10" ht="19.5" customHeight="1" x14ac:dyDescent="0.25">
      <c r="A8" s="54">
        <f>IF(Scrap_Sale!A5="","",Scrap_Sale!A5)</f>
        <v>45658</v>
      </c>
      <c r="B8" s="41">
        <v>5</v>
      </c>
      <c r="C8" s="42">
        <v>750</v>
      </c>
      <c r="D8" s="42">
        <v>130</v>
      </c>
      <c r="E8" s="69"/>
      <c r="F8" s="43">
        <f>IFERROR(Table44458[[#This Row],[Fuel  Liter]]/(Table44458[[#This Row],[Total Run time 
(if Minute)]]/60),0)</f>
        <v>2.3076923076923079</v>
      </c>
      <c r="G8" s="43">
        <f>IFERROR(Table44458[[#This Row],[Fuel Taka]]/(Table44458[[#This Row],[Total Run time 
(if Minute)]]/60),0)</f>
        <v>346.15384615384619</v>
      </c>
      <c r="H8" s="74"/>
    </row>
    <row r="9" spans="1:10" ht="19.5" customHeight="1" x14ac:dyDescent="0.25">
      <c r="A9" s="54">
        <f>IF(Scrap_Sale!A6="","",Scrap_Sale!A6)</f>
        <v>45689</v>
      </c>
      <c r="B9" s="41"/>
      <c r="C9" s="42"/>
      <c r="D9" s="42">
        <f>HOUR(Table44458[[#This Row],[Total Run time 
(if Hour:Minute)]])*60+MINUTE(Table44458[[#This Row],[Total Run time 
(if Hour:Minute)]])</f>
        <v>0</v>
      </c>
      <c r="E9" s="69"/>
      <c r="F9" s="43">
        <f>IFERROR(Table44458[[#This Row],[Fuel  Liter]]/(Table44458[[#This Row],[Total Run time 
(if Minute)]]/60),0)</f>
        <v>0</v>
      </c>
      <c r="G9" s="43">
        <f>IFERROR(Table44458[[#This Row],[Fuel Taka]]/(Table44458[[#This Row],[Total Run time 
(if Minute)]]/60),0)</f>
        <v>0</v>
      </c>
      <c r="H9" s="74"/>
      <c r="J9" s="92"/>
    </row>
    <row r="10" spans="1:10" ht="19.5" customHeight="1" x14ac:dyDescent="0.25">
      <c r="A10" s="54">
        <f>IF(Scrap_Sale!A7="","",Scrap_Sale!A7)</f>
        <v>45717</v>
      </c>
      <c r="B10" s="41"/>
      <c r="C10" s="42"/>
      <c r="D10" s="42">
        <f>HOUR(Table44458[[#This Row],[Total Run time 
(if Hour:Minute)]])*60+MINUTE(Table44458[[#This Row],[Total Run time 
(if Hour:Minute)]])</f>
        <v>0</v>
      </c>
      <c r="E10" s="69"/>
      <c r="F10" s="43">
        <f>IFERROR(Table44458[[#This Row],[Fuel  Liter]]/(Table44458[[#This Row],[Total Run time 
(if Minute)]]/60),0)</f>
        <v>0</v>
      </c>
      <c r="G10" s="43">
        <f>IFERROR(Table44458[[#This Row],[Fuel Taka]]/(Table44458[[#This Row],[Total Run time 
(if Minute)]]/60),0)</f>
        <v>0</v>
      </c>
      <c r="H10" s="74"/>
    </row>
    <row r="11" spans="1:10" ht="19.5" customHeight="1" x14ac:dyDescent="0.25">
      <c r="A11" s="54">
        <f>IF(Scrap_Sale!A8="","",Scrap_Sale!A8)</f>
        <v>45748</v>
      </c>
      <c r="B11" s="41"/>
      <c r="C11" s="42"/>
      <c r="D11" s="42">
        <f>HOUR(Table44458[[#This Row],[Total Run time 
(if Hour:Minute)]])*60+MINUTE(Table44458[[#This Row],[Total Run time 
(if Hour:Minute)]])</f>
        <v>0</v>
      </c>
      <c r="E11" s="69"/>
      <c r="F11" s="43">
        <f>IFERROR(Table44458[[#This Row],[Fuel  Liter]]/(Table44458[[#This Row],[Total Run time 
(if Minute)]]/60),0)</f>
        <v>0</v>
      </c>
      <c r="G11" s="43">
        <f>IFERROR(Table44458[[#This Row],[Fuel Taka]]/(Table44458[[#This Row],[Total Run time 
(if Minute)]]/60),0)</f>
        <v>0</v>
      </c>
      <c r="H11" s="74"/>
    </row>
    <row r="12" spans="1:10" ht="19.5" customHeight="1" x14ac:dyDescent="0.25">
      <c r="A12" s="54">
        <f>IF(Scrap_Sale!A9="","",Scrap_Sale!A9)</f>
        <v>45778</v>
      </c>
      <c r="B12" s="41"/>
      <c r="C12" s="42"/>
      <c r="D12" s="42">
        <f>HOUR(Table44458[[#This Row],[Total Run time 
(if Hour:Minute)]])*60+MINUTE(Table44458[[#This Row],[Total Run time 
(if Hour:Minute)]])</f>
        <v>0</v>
      </c>
      <c r="E12" s="69"/>
      <c r="F12" s="43">
        <f>IFERROR(Table44458[[#This Row],[Fuel  Liter]]/(Table44458[[#This Row],[Total Run time 
(if Minute)]]/60),0)</f>
        <v>0</v>
      </c>
      <c r="G12" s="43">
        <f>IFERROR(Table44458[[#This Row],[Fuel Taka]]/(Table44458[[#This Row],[Total Run time 
(if Minute)]]/60),0)</f>
        <v>0</v>
      </c>
      <c r="H12" s="74"/>
    </row>
    <row r="13" spans="1:10" ht="19.5" customHeight="1" x14ac:dyDescent="0.25">
      <c r="A13" s="54">
        <f>IF(Scrap_Sale!A10="","",Scrap_Sale!A10)</f>
        <v>45809</v>
      </c>
      <c r="B13" s="41"/>
      <c r="C13" s="42"/>
      <c r="D13" s="42">
        <f>HOUR(Table44458[[#This Row],[Total Run time 
(if Hour:Minute)]])*60+MINUTE(Table44458[[#This Row],[Total Run time 
(if Hour:Minute)]])</f>
        <v>0</v>
      </c>
      <c r="E13" s="69"/>
      <c r="F13" s="43">
        <f>IFERROR(Table44458[[#This Row],[Fuel  Liter]]/(Table44458[[#This Row],[Total Run time 
(if Minute)]]/60),0)</f>
        <v>0</v>
      </c>
      <c r="G13" s="43">
        <f>IFERROR(Table44458[[#This Row],[Fuel Taka]]/(Table44458[[#This Row],[Total Run time 
(if Minute)]]/60),0)</f>
        <v>0</v>
      </c>
      <c r="H13" s="74"/>
    </row>
    <row r="14" spans="1:10" ht="19.5" customHeight="1" x14ac:dyDescent="0.25">
      <c r="A14" s="54">
        <f>IF(Scrap_Sale!A11="","",Scrap_Sale!A11)</f>
        <v>45839</v>
      </c>
      <c r="B14" s="41"/>
      <c r="C14" s="42"/>
      <c r="D14" s="42">
        <f>HOUR(Table44458[[#This Row],[Total Run time 
(if Hour:Minute)]])*60+MINUTE(Table44458[[#This Row],[Total Run time 
(if Hour:Minute)]])</f>
        <v>0</v>
      </c>
      <c r="E14" s="69"/>
      <c r="F14" s="43">
        <f>IFERROR(Table44458[[#This Row],[Fuel  Liter]]/(Table44458[[#This Row],[Total Run time 
(if Minute)]]/60),0)</f>
        <v>0</v>
      </c>
      <c r="G14" s="43">
        <f>IFERROR(Table44458[[#This Row],[Fuel Taka]]/(Table44458[[#This Row],[Total Run time 
(if Minute)]]/60),0)</f>
        <v>0</v>
      </c>
      <c r="H14" s="74"/>
    </row>
    <row r="15" spans="1:10" ht="19.5" customHeight="1" x14ac:dyDescent="0.25">
      <c r="A15" s="54">
        <f>IF(Scrap_Sale!A12="","",Scrap_Sale!A12)</f>
        <v>45870</v>
      </c>
      <c r="B15" s="41"/>
      <c r="C15" s="42"/>
      <c r="D15" s="42">
        <f>HOUR(Table44458[[#This Row],[Total Run time 
(if Hour:Minute)]])*60+MINUTE(Table44458[[#This Row],[Total Run time 
(if Hour:Minute)]])</f>
        <v>0</v>
      </c>
      <c r="E15" s="69"/>
      <c r="F15" s="43">
        <f>IFERROR(Table44458[[#This Row],[Fuel  Liter]]/(Table44458[[#This Row],[Total Run time 
(if Minute)]]/60),0)</f>
        <v>0</v>
      </c>
      <c r="G15" s="43">
        <f>IFERROR(Table44458[[#This Row],[Fuel Taka]]/(Table44458[[#This Row],[Total Run time 
(if Minute)]]/60),0)</f>
        <v>0</v>
      </c>
      <c r="H15" s="74"/>
    </row>
    <row r="16" spans="1:10" ht="19.5" customHeight="1" x14ac:dyDescent="0.25">
      <c r="A16" s="54">
        <f>IF(Scrap_Sale!A13="","",Scrap_Sale!A13)</f>
        <v>45901</v>
      </c>
      <c r="B16" s="41"/>
      <c r="C16" s="42"/>
      <c r="D16" s="42">
        <f>HOUR(Table44458[[#This Row],[Total Run time 
(if Hour:Minute)]])*60+MINUTE(Table44458[[#This Row],[Total Run time 
(if Hour:Minute)]])</f>
        <v>0</v>
      </c>
      <c r="E16" s="69"/>
      <c r="F16" s="43">
        <f>IFERROR(Table44458[[#This Row],[Fuel  Liter]]/(Table44458[[#This Row],[Total Run time 
(if Minute)]]/60),0)</f>
        <v>0</v>
      </c>
      <c r="G16" s="43">
        <f>IFERROR(Table44458[[#This Row],[Fuel Taka]]/(Table44458[[#This Row],[Total Run time 
(if Minute)]]/60),0)</f>
        <v>0</v>
      </c>
      <c r="H16" s="74"/>
    </row>
    <row r="17" spans="1:8" ht="19.5" customHeight="1" x14ac:dyDescent="0.25">
      <c r="A17" s="54">
        <f>IF(Scrap_Sale!A14="","",Scrap_Sale!A14)</f>
        <v>45931</v>
      </c>
      <c r="B17" s="41"/>
      <c r="C17" s="42"/>
      <c r="D17" s="42">
        <f>HOUR(Table44458[[#This Row],[Total Run time 
(if Hour:Minute)]])*60+MINUTE(Table44458[[#This Row],[Total Run time 
(if Hour:Minute)]])</f>
        <v>0</v>
      </c>
      <c r="E17" s="69"/>
      <c r="F17" s="43">
        <f>IFERROR(Table44458[[#This Row],[Fuel  Liter]]/(Table44458[[#This Row],[Total Run time 
(if Minute)]]/60),0)</f>
        <v>0</v>
      </c>
      <c r="G17" s="43">
        <f>IFERROR(Table44458[[#This Row],[Fuel Taka]]/(Table44458[[#This Row],[Total Run time 
(if Minute)]]/60),0)</f>
        <v>0</v>
      </c>
      <c r="H17" s="74"/>
    </row>
    <row r="18" spans="1:8" ht="19.5" customHeight="1" x14ac:dyDescent="0.25">
      <c r="A18" s="54">
        <f>IF(Scrap_Sale!A15="","",Scrap_Sale!A15)</f>
        <v>45962</v>
      </c>
      <c r="B18" s="41"/>
      <c r="C18" s="42"/>
      <c r="D18" s="42">
        <f>HOUR(Table44458[[#This Row],[Total Run time 
(if Hour:Minute)]])*60+MINUTE(Table44458[[#This Row],[Total Run time 
(if Hour:Minute)]])</f>
        <v>0</v>
      </c>
      <c r="E18" s="69"/>
      <c r="F18" s="43">
        <f>IFERROR(Table44458[[#This Row],[Fuel  Liter]]/(Table44458[[#This Row],[Total Run time 
(if Minute)]]/60),0)</f>
        <v>0</v>
      </c>
      <c r="G18" s="43">
        <f>IFERROR(Table44458[[#This Row],[Fuel Taka]]/(Table44458[[#This Row],[Total Run time 
(if Minute)]]/60),0)</f>
        <v>0</v>
      </c>
      <c r="H18" s="74"/>
    </row>
    <row r="19" spans="1:8" ht="19.5" customHeight="1" x14ac:dyDescent="0.25">
      <c r="A19" s="54">
        <f>IF(Scrap_Sale!A16="","",Scrap_Sale!A16)</f>
        <v>45992</v>
      </c>
      <c r="B19" s="41"/>
      <c r="C19" s="42"/>
      <c r="D19" s="42">
        <f>HOUR(Table44458[[#This Row],[Total Run time 
(if Hour:Minute)]])*60+MINUTE(Table44458[[#This Row],[Total Run time 
(if Hour:Minute)]])</f>
        <v>0</v>
      </c>
      <c r="E19" s="69"/>
      <c r="F19" s="43">
        <f>IFERROR(Table44458[[#This Row],[Fuel  Liter]]/(Table44458[[#This Row],[Total Run time 
(if Minute)]]/60),0)</f>
        <v>0</v>
      </c>
      <c r="G19" s="43">
        <f>IFERROR(Table44458[[#This Row],[Fuel Taka]]/(Table44458[[#This Row],[Total Run time 
(if Minute)]]/60),0)</f>
        <v>0</v>
      </c>
      <c r="H19" s="74"/>
    </row>
    <row r="20" spans="1:8" s="2" customFormat="1" ht="23.25" customHeight="1" x14ac:dyDescent="0.25">
      <c r="A20" s="75" t="s">
        <v>6</v>
      </c>
      <c r="B20" s="37">
        <f>SUM(B8:B19)</f>
        <v>5</v>
      </c>
      <c r="C20" s="37">
        <f t="shared" ref="C20" si="0">SUM(C8:C19)</f>
        <v>750</v>
      </c>
      <c r="D20" s="37">
        <f>SUBTOTAL(109,D8:D19)</f>
        <v>130</v>
      </c>
      <c r="E20" s="37">
        <f>(SUM(E8:E19)*1440)</f>
        <v>0</v>
      </c>
      <c r="F20" s="76">
        <f>IFERROR(Table44458[[#This Row],[Fuel  Liter]]/(Table44458[[#This Row],[Total Run time 
(if Minute)]]/60),0)</f>
        <v>2.3076923076923079</v>
      </c>
      <c r="G20" s="76">
        <f>IFERROR(Table44458[[#This Row],[Fuel Taka]]/(Table44458[[#This Row],[Total Run time 
(if Minute)]]/60),0)</f>
        <v>346.15384615384619</v>
      </c>
      <c r="H20" s="77">
        <f>Table44458[[#This Row],[Fuel Consup. Per Hour (Liter)]]*0</f>
        <v>0</v>
      </c>
    </row>
    <row r="21" spans="1:8" ht="15" x14ac:dyDescent="0.25">
      <c r="A21" s="44"/>
      <c r="B21" s="44"/>
      <c r="E21" s="116" t="s">
        <v>51</v>
      </c>
      <c r="F21" s="117">
        <v>1.5</v>
      </c>
    </row>
    <row r="22" spans="1:8" x14ac:dyDescent="0.2">
      <c r="A22" s="94" t="s">
        <v>47</v>
      </c>
      <c r="B22" s="95">
        <f>B20/COUNT(A8:A19)</f>
        <v>0.41666666666666669</v>
      </c>
    </row>
    <row r="23" spans="1:8" x14ac:dyDescent="0.2">
      <c r="A23" s="59" t="str">
        <f>"Sajib"&amp;CHAR(169)</f>
        <v>Sajib©</v>
      </c>
      <c r="B23" s="115" t="str">
        <f>"On the other hand, total "&amp;B20&amp;" liters "&amp;LOWER(B5)&amp;" has been used for "&amp;B4&amp;" and average consumption rate per hour is "&amp;TEXT(F20, "#,##,##0.00")&amp;" liters and last year average consumption rate per hour was "&amp;TEXT(F21, "#,##,##0.00")&amp;"  liters."</f>
        <v>On the other hand, total 5 liters petrol has been used for 75 KVA Dolgfong Cumming, Model- and average consumption rate per hour is 2.31 liters and last year average consumption rate per hour was 1.50  liters.</v>
      </c>
      <c r="C23" s="115"/>
      <c r="D23" s="115"/>
      <c r="E23" s="115"/>
      <c r="F23" s="115"/>
      <c r="G23" s="115"/>
      <c r="H23" s="115"/>
    </row>
    <row r="24" spans="1:8" x14ac:dyDescent="0.2">
      <c r="B24" s="112"/>
    </row>
  </sheetData>
  <sheetProtection password="CEDB" sheet="1" objects="1" scenarios="1"/>
  <mergeCells count="5">
    <mergeCell ref="A1:H1"/>
    <mergeCell ref="A2:H2"/>
    <mergeCell ref="A3:H3"/>
    <mergeCell ref="B4:E4"/>
    <mergeCell ref="B23:H23"/>
  </mergeCells>
  <pageMargins left="0.7" right="0.7" top="1" bottom="0.75" header="0" footer="0.05"/>
  <pageSetup orientation="landscape" horizontalDpi="1200" verticalDpi="1200"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8698-C082-4500-B22A-274E70B58685}">
  <dimension ref="A1:C7"/>
  <sheetViews>
    <sheetView workbookViewId="0">
      <selection activeCell="D16" sqref="D16"/>
    </sheetView>
  </sheetViews>
  <sheetFormatPr defaultRowHeight="12.75" x14ac:dyDescent="0.2"/>
  <cols>
    <col min="1" max="1" width="19.42578125" style="113" customWidth="1"/>
    <col min="2" max="16384" width="9.140625" style="113"/>
  </cols>
  <sheetData>
    <row r="1" spans="1:3" x14ac:dyDescent="0.2">
      <c r="A1" s="118" t="str">
        <f>G1_Fuel!B23</f>
        <v>During our audit period total 5 liters diesel has been used for 5 KVA Dolgfong Cumming, Model- and average consumption rate per hour is 2.31 liters and last year average consumption rate per hour was 1.50  liters.</v>
      </c>
      <c r="B1" s="118"/>
      <c r="C1" s="118"/>
    </row>
    <row r="2" spans="1:3" x14ac:dyDescent="0.2">
      <c r="A2" s="118" t="str">
        <f>G2_Fuel!B23</f>
        <v>On the other hand, total 5 liters petrol has been used for 75 KVA Dolgfong Cumming, Model- and average consumption rate per hour is 2.31 liters and last year average consumption rate per hour was 1.50  liters.</v>
      </c>
      <c r="B2" s="118"/>
      <c r="C2" s="118"/>
    </row>
    <row r="3" spans="1:3" x14ac:dyDescent="0.2">
      <c r="A3" s="118" t="str">
        <f>"It is to be noted that, we could not calculate the actual consumption rate due to opening and closing stock of fuel was not recorded."</f>
        <v>It is to be noted that, we could not calculate the actual consumption rate due to opening and closing stock of fuel was not recorded.</v>
      </c>
      <c r="B3" s="118"/>
      <c r="C3" s="118"/>
    </row>
    <row r="5" spans="1:3" x14ac:dyDescent="0.2">
      <c r="A5" s="114" t="str">
        <f>"There are two generators "&amp;G1_Fuel!B4&amp;" and "&amp;G2_Fuel!B4&amp;" are used in this depot."</f>
        <v>There are two generators 5 KVA Dolgfong Cumming, Model- and 75 KVA Dolgfong Cumming, Model- are used in this depot.</v>
      </c>
    </row>
    <row r="6" spans="1:3" x14ac:dyDescent="0.2">
      <c r="A6" s="114" t="str">
        <f>_xlfn.CONCAT(A1:A3)</f>
        <v>During our audit period total 5 liters diesel has been used for 5 KVA Dolgfong Cumming, Model- and average consumption rate per hour is 2.31 liters and last year average consumption rate per hour was 1.50  liters.On the other hand, total 5 liters petrol has been used for 75 KVA Dolgfong Cumming, Model- and average consumption rate per hour is 2.31 liters and last year average consumption rate per hour was 1.50  liters.It is to be noted that, we could not calculate the actual consumption rate due to opening and closing stock of fuel was not recorded.</v>
      </c>
    </row>
    <row r="7" spans="1:3" x14ac:dyDescent="0.2">
      <c r="A7" s="114" t="s">
        <v>58</v>
      </c>
    </row>
  </sheetData>
  <mergeCells count="3">
    <mergeCell ref="A1:C1"/>
    <mergeCell ref="A2:C2"/>
    <mergeCell ref="A3:C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
  <sheetViews>
    <sheetView view="pageBreakPreview" zoomScaleNormal="100" zoomScaleSheetLayoutView="100" workbookViewId="0">
      <selection activeCell="C25" sqref="C25"/>
    </sheetView>
  </sheetViews>
  <sheetFormatPr defaultRowHeight="15" x14ac:dyDescent="0.25"/>
  <cols>
    <col min="1" max="1" width="8.7109375" style="10" customWidth="1"/>
    <col min="2" max="2" width="8.42578125" style="10" customWidth="1"/>
    <col min="3" max="3" width="38.28515625" style="10" customWidth="1"/>
    <col min="4" max="4" width="27.140625" style="10" customWidth="1"/>
    <col min="5" max="5" width="14" style="10" customWidth="1"/>
    <col min="6" max="6" width="12.5703125" style="10" customWidth="1"/>
    <col min="7" max="16384" width="9.140625" style="10"/>
  </cols>
  <sheetData>
    <row r="1" spans="1:6" ht="15.75" x14ac:dyDescent="0.25">
      <c r="A1" s="99" t="str">
        <f>Scrap_Sale!A1</f>
        <v>XXXXXXXX  Depot</v>
      </c>
      <c r="B1" s="99"/>
      <c r="C1" s="99"/>
      <c r="D1" s="99"/>
      <c r="E1" s="99"/>
      <c r="F1" s="99"/>
    </row>
    <row r="2" spans="1:6" ht="15.75" x14ac:dyDescent="0.25">
      <c r="A2" s="102" t="s">
        <v>17</v>
      </c>
      <c r="B2" s="102"/>
      <c r="C2" s="102"/>
      <c r="D2" s="102"/>
      <c r="E2" s="102"/>
      <c r="F2" s="102"/>
    </row>
    <row r="3" spans="1:6" x14ac:dyDescent="0.25">
      <c r="A3" s="103" t="s">
        <v>38</v>
      </c>
      <c r="B3" s="103"/>
      <c r="C3" s="103"/>
      <c r="D3" s="103"/>
      <c r="E3" s="103"/>
      <c r="F3" s="103"/>
    </row>
    <row r="4" spans="1:6" x14ac:dyDescent="0.25">
      <c r="A4" s="12"/>
      <c r="B4" s="12"/>
      <c r="C4" s="12"/>
      <c r="D4" s="12"/>
      <c r="E4" s="12"/>
      <c r="F4" s="12"/>
    </row>
    <row r="5" spans="1:6" x14ac:dyDescent="0.25">
      <c r="A5" s="45" t="s">
        <v>18</v>
      </c>
      <c r="B5" s="46" t="s">
        <v>19</v>
      </c>
      <c r="C5" s="46" t="s">
        <v>20</v>
      </c>
      <c r="D5" s="46" t="s">
        <v>21</v>
      </c>
      <c r="E5" s="46" t="s">
        <v>22</v>
      </c>
      <c r="F5" s="46" t="s">
        <v>12</v>
      </c>
    </row>
    <row r="6" spans="1:6" x14ac:dyDescent="0.25">
      <c r="A6" s="82">
        <f>(IF(B6&lt;&gt;"",COUNTA($B$6:B6),""))</f>
        <v>1</v>
      </c>
      <c r="B6" s="83" t="s">
        <v>42</v>
      </c>
      <c r="C6" s="84"/>
      <c r="D6" s="85"/>
      <c r="E6" s="86"/>
      <c r="F6" s="87"/>
    </row>
    <row r="7" spans="1:6" x14ac:dyDescent="0.25">
      <c r="A7" s="82">
        <f>(IF(B7&lt;&gt;"",COUNTA($B$6:B7),""))</f>
        <v>2</v>
      </c>
      <c r="B7" s="83" t="s">
        <v>43</v>
      </c>
      <c r="C7" s="84"/>
      <c r="D7" s="85"/>
      <c r="E7" s="86"/>
      <c r="F7" s="87"/>
    </row>
    <row r="8" spans="1:6" x14ac:dyDescent="0.25">
      <c r="A8" s="82" t="str">
        <f>(IF(B8&lt;&gt;"",COUNTA($B$6:B8),""))</f>
        <v/>
      </c>
      <c r="B8" s="83"/>
      <c r="C8" s="84"/>
      <c r="D8" s="85"/>
      <c r="E8" s="86"/>
      <c r="F8" s="87"/>
    </row>
    <row r="9" spans="1:6" x14ac:dyDescent="0.25">
      <c r="A9" s="82" t="str">
        <f>(IF(B9&lt;&gt;"",COUNTA($B$6:B9),""))</f>
        <v/>
      </c>
      <c r="B9" s="83"/>
      <c r="C9" s="84"/>
      <c r="D9" s="85"/>
      <c r="E9" s="86"/>
      <c r="F9" s="87"/>
    </row>
    <row r="10" spans="1:6" x14ac:dyDescent="0.25">
      <c r="A10" s="82" t="str">
        <f>(IF(B10&lt;&gt;"",COUNTA($B$6:B10),""))</f>
        <v/>
      </c>
      <c r="B10" s="83"/>
      <c r="C10" s="84"/>
      <c r="D10" s="85"/>
      <c r="E10" s="86"/>
      <c r="F10" s="87"/>
    </row>
    <row r="11" spans="1:6" x14ac:dyDescent="0.25">
      <c r="A11" s="82" t="str">
        <f>(IF(B11&lt;&gt;"",COUNTA($B$6:B11),""))</f>
        <v/>
      </c>
      <c r="B11" s="83"/>
      <c r="C11" s="84"/>
      <c r="D11" s="85"/>
      <c r="E11" s="86"/>
      <c r="F11" s="87"/>
    </row>
    <row r="12" spans="1:6" x14ac:dyDescent="0.25">
      <c r="A12" s="82" t="str">
        <f>(IF(B12&lt;&gt;"",COUNTA($B$6:B12),""))</f>
        <v/>
      </c>
      <c r="B12" s="83"/>
      <c r="C12" s="84"/>
      <c r="D12" s="85"/>
      <c r="E12" s="86"/>
      <c r="F12" s="87"/>
    </row>
    <row r="13" spans="1:6" x14ac:dyDescent="0.25">
      <c r="A13" s="82" t="str">
        <f>(IF(B13&lt;&gt;"",COUNTA($B$6:B13),""))</f>
        <v/>
      </c>
      <c r="B13" s="83"/>
      <c r="C13" s="84"/>
      <c r="D13" s="85"/>
      <c r="E13" s="86"/>
      <c r="F13" s="87"/>
    </row>
    <row r="14" spans="1:6" x14ac:dyDescent="0.25">
      <c r="A14" s="82" t="str">
        <f>(IF(B14&lt;&gt;"",COUNTA($B$6:B14),""))</f>
        <v/>
      </c>
      <c r="B14" s="83"/>
      <c r="C14" s="84"/>
      <c r="D14" s="85"/>
      <c r="E14" s="86"/>
      <c r="F14" s="87"/>
    </row>
    <row r="15" spans="1:6" x14ac:dyDescent="0.25">
      <c r="A15" s="82" t="str">
        <f>(IF(B15&lt;&gt;"",COUNTA($B$6:B15),""))</f>
        <v/>
      </c>
      <c r="B15" s="83"/>
      <c r="C15" s="84"/>
      <c r="D15" s="85"/>
      <c r="E15" s="86"/>
      <c r="F15" s="87"/>
    </row>
    <row r="16" spans="1:6" hidden="1" x14ac:dyDescent="0.25">
      <c r="A16" s="82"/>
      <c r="B16" s="83"/>
      <c r="C16" s="84"/>
      <c r="D16" s="85"/>
      <c r="E16" s="86"/>
      <c r="F16" s="87"/>
    </row>
    <row r="17" spans="1:6" hidden="1" x14ac:dyDescent="0.25">
      <c r="A17" s="82"/>
      <c r="B17" s="83"/>
      <c r="C17" s="84"/>
      <c r="D17" s="85"/>
      <c r="E17" s="86"/>
      <c r="F17" s="87"/>
    </row>
    <row r="18" spans="1:6" hidden="1" x14ac:dyDescent="0.25">
      <c r="A18" s="82"/>
      <c r="B18" s="83"/>
      <c r="C18" s="84"/>
      <c r="D18" s="85"/>
      <c r="E18" s="86"/>
      <c r="F18" s="87"/>
    </row>
    <row r="19" spans="1:6" hidden="1" x14ac:dyDescent="0.25">
      <c r="A19" s="82"/>
      <c r="B19" s="83"/>
      <c r="C19" s="84"/>
      <c r="D19" s="85"/>
      <c r="E19" s="86"/>
      <c r="F19" s="87"/>
    </row>
    <row r="20" spans="1:6" hidden="1" x14ac:dyDescent="0.25">
      <c r="A20" s="82"/>
      <c r="B20" s="83"/>
      <c r="C20" s="88"/>
      <c r="D20" s="89"/>
      <c r="E20" s="89"/>
      <c r="F20" s="90"/>
    </row>
    <row r="21" spans="1:6" hidden="1" x14ac:dyDescent="0.25">
      <c r="A21" s="82"/>
      <c r="B21" s="83"/>
      <c r="C21" s="88"/>
      <c r="D21" s="89"/>
      <c r="E21" s="89"/>
      <c r="F21" s="90"/>
    </row>
    <row r="22" spans="1:6" hidden="1" x14ac:dyDescent="0.25">
      <c r="A22" s="82"/>
      <c r="B22" s="91"/>
      <c r="C22" s="88"/>
      <c r="D22" s="89"/>
      <c r="E22" s="89"/>
      <c r="F22" s="90"/>
    </row>
    <row r="23" spans="1:6" x14ac:dyDescent="0.25">
      <c r="A23" s="17" t="str">
        <f>"Sajib"&amp;CHAR(169)</f>
        <v>Sajib©</v>
      </c>
      <c r="B23" s="13"/>
      <c r="D23" s="13"/>
      <c r="E23" s="13"/>
    </row>
  </sheetData>
  <sheetProtection password="CEDB" sheet="1" objects="1" scenarios="1"/>
  <mergeCells count="3">
    <mergeCell ref="A1:F1"/>
    <mergeCell ref="A2:F2"/>
    <mergeCell ref="A3:F3"/>
  </mergeCells>
  <conditionalFormatting sqref="A5:F22">
    <cfRule type="expression" dxfId="0" priority="1">
      <formula>COUNTA($A5:$F5)&gt;0</formula>
    </cfRule>
  </conditionalFormatting>
  <pageMargins left="1.2" right="0.7" top="1" bottom="0.75" header="0" footer="0"/>
  <pageSetup orientation="landscape" horizontalDpi="1200" verticalDpi="1200"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J24"/>
  <sheetViews>
    <sheetView view="pageBreakPreview" topLeftCell="A4" zoomScale="110" zoomScaleNormal="100" zoomScaleSheetLayoutView="110" workbookViewId="0">
      <selection activeCell="A22" sqref="A22:J22"/>
    </sheetView>
  </sheetViews>
  <sheetFormatPr defaultColWidth="10.42578125" defaultRowHeight="14.25" x14ac:dyDescent="0.25"/>
  <cols>
    <col min="1" max="2" width="10.42578125" style="14"/>
    <col min="3" max="3" width="8.5703125" style="14" customWidth="1"/>
    <col min="4" max="4" width="15" style="14" customWidth="1"/>
    <col min="5" max="6" width="16.42578125" style="14" customWidth="1"/>
    <col min="7" max="7" width="13.42578125" style="14" hidden="1" customWidth="1"/>
    <col min="8" max="8" width="13.7109375" style="14" hidden="1" customWidth="1"/>
    <col min="9" max="9" width="16.42578125" style="14" customWidth="1"/>
    <col min="10" max="10" width="18.28515625" style="16" customWidth="1"/>
    <col min="11" max="256" width="10.42578125" style="14"/>
    <col min="257" max="257" width="5.28515625" style="14" customWidth="1"/>
    <col min="258" max="259" width="10.42578125" style="14"/>
    <col min="260" max="260" width="8.5703125" style="14" customWidth="1"/>
    <col min="261" max="261" width="13.85546875" style="14" bestFit="1" customWidth="1"/>
    <col min="262" max="262" width="13" style="14" bestFit="1" customWidth="1"/>
    <col min="263" max="263" width="12" style="14" bestFit="1" customWidth="1"/>
    <col min="264" max="264" width="11.28515625" style="14" customWidth="1"/>
    <col min="265" max="265" width="13.85546875" style="14" bestFit="1" customWidth="1"/>
    <col min="266" max="266" width="15" style="14" customWidth="1"/>
    <col min="267" max="512" width="10.42578125" style="14"/>
    <col min="513" max="513" width="5.28515625" style="14" customWidth="1"/>
    <col min="514" max="515" width="10.42578125" style="14"/>
    <col min="516" max="516" width="8.5703125" style="14" customWidth="1"/>
    <col min="517" max="517" width="13.85546875" style="14" bestFit="1" customWidth="1"/>
    <col min="518" max="518" width="13" style="14" bestFit="1" customWidth="1"/>
    <col min="519" max="519" width="12" style="14" bestFit="1" customWidth="1"/>
    <col min="520" max="520" width="11.28515625" style="14" customWidth="1"/>
    <col min="521" max="521" width="13.85546875" style="14" bestFit="1" customWidth="1"/>
    <col min="522" max="522" width="15" style="14" customWidth="1"/>
    <col min="523" max="768" width="10.42578125" style="14"/>
    <col min="769" max="769" width="5.28515625" style="14" customWidth="1"/>
    <col min="770" max="771" width="10.42578125" style="14"/>
    <col min="772" max="772" width="8.5703125" style="14" customWidth="1"/>
    <col min="773" max="773" width="13.85546875" style="14" bestFit="1" customWidth="1"/>
    <col min="774" max="774" width="13" style="14" bestFit="1" customWidth="1"/>
    <col min="775" max="775" width="12" style="14" bestFit="1" customWidth="1"/>
    <col min="776" max="776" width="11.28515625" style="14" customWidth="1"/>
    <col min="777" max="777" width="13.85546875" style="14" bestFit="1" customWidth="1"/>
    <col min="778" max="778" width="15" style="14" customWidth="1"/>
    <col min="779" max="1024" width="10.42578125" style="14"/>
    <col min="1025" max="1025" width="5.28515625" style="14" customWidth="1"/>
    <col min="1026" max="1027" width="10.42578125" style="14"/>
    <col min="1028" max="1028" width="8.5703125" style="14" customWidth="1"/>
    <col min="1029" max="1029" width="13.85546875" style="14" bestFit="1" customWidth="1"/>
    <col min="1030" max="1030" width="13" style="14" bestFit="1" customWidth="1"/>
    <col min="1031" max="1031" width="12" style="14" bestFit="1" customWidth="1"/>
    <col min="1032" max="1032" width="11.28515625" style="14" customWidth="1"/>
    <col min="1033" max="1033" width="13.85546875" style="14" bestFit="1" customWidth="1"/>
    <col min="1034" max="1034" width="15" style="14" customWidth="1"/>
    <col min="1035" max="1280" width="10.42578125" style="14"/>
    <col min="1281" max="1281" width="5.28515625" style="14" customWidth="1"/>
    <col min="1282" max="1283" width="10.42578125" style="14"/>
    <col min="1284" max="1284" width="8.5703125" style="14" customWidth="1"/>
    <col min="1285" max="1285" width="13.85546875" style="14" bestFit="1" customWidth="1"/>
    <col min="1286" max="1286" width="13" style="14" bestFit="1" customWidth="1"/>
    <col min="1287" max="1287" width="12" style="14" bestFit="1" customWidth="1"/>
    <col min="1288" max="1288" width="11.28515625" style="14" customWidth="1"/>
    <col min="1289" max="1289" width="13.85546875" style="14" bestFit="1" customWidth="1"/>
    <col min="1290" max="1290" width="15" style="14" customWidth="1"/>
    <col min="1291" max="1536" width="10.42578125" style="14"/>
    <col min="1537" max="1537" width="5.28515625" style="14" customWidth="1"/>
    <col min="1538" max="1539" width="10.42578125" style="14"/>
    <col min="1540" max="1540" width="8.5703125" style="14" customWidth="1"/>
    <col min="1541" max="1541" width="13.85546875" style="14" bestFit="1" customWidth="1"/>
    <col min="1542" max="1542" width="13" style="14" bestFit="1" customWidth="1"/>
    <col min="1543" max="1543" width="12" style="14" bestFit="1" customWidth="1"/>
    <col min="1544" max="1544" width="11.28515625" style="14" customWidth="1"/>
    <col min="1545" max="1545" width="13.85546875" style="14" bestFit="1" customWidth="1"/>
    <col min="1546" max="1546" width="15" style="14" customWidth="1"/>
    <col min="1547" max="1792" width="10.42578125" style="14"/>
    <col min="1793" max="1793" width="5.28515625" style="14" customWidth="1"/>
    <col min="1794" max="1795" width="10.42578125" style="14"/>
    <col min="1796" max="1796" width="8.5703125" style="14" customWidth="1"/>
    <col min="1797" max="1797" width="13.85546875" style="14" bestFit="1" customWidth="1"/>
    <col min="1798" max="1798" width="13" style="14" bestFit="1" customWidth="1"/>
    <col min="1799" max="1799" width="12" style="14" bestFit="1" customWidth="1"/>
    <col min="1800" max="1800" width="11.28515625" style="14" customWidth="1"/>
    <col min="1801" max="1801" width="13.85546875" style="14" bestFit="1" customWidth="1"/>
    <col min="1802" max="1802" width="15" style="14" customWidth="1"/>
    <col min="1803" max="2048" width="10.42578125" style="14"/>
    <col min="2049" max="2049" width="5.28515625" style="14" customWidth="1"/>
    <col min="2050" max="2051" width="10.42578125" style="14"/>
    <col min="2052" max="2052" width="8.5703125" style="14" customWidth="1"/>
    <col min="2053" max="2053" width="13.85546875" style="14" bestFit="1" customWidth="1"/>
    <col min="2054" max="2054" width="13" style="14" bestFit="1" customWidth="1"/>
    <col min="2055" max="2055" width="12" style="14" bestFit="1" customWidth="1"/>
    <col min="2056" max="2056" width="11.28515625" style="14" customWidth="1"/>
    <col min="2057" max="2057" width="13.85546875" style="14" bestFit="1" customWidth="1"/>
    <col min="2058" max="2058" width="15" style="14" customWidth="1"/>
    <col min="2059" max="2304" width="10.42578125" style="14"/>
    <col min="2305" max="2305" width="5.28515625" style="14" customWidth="1"/>
    <col min="2306" max="2307" width="10.42578125" style="14"/>
    <col min="2308" max="2308" width="8.5703125" style="14" customWidth="1"/>
    <col min="2309" max="2309" width="13.85546875" style="14" bestFit="1" customWidth="1"/>
    <col min="2310" max="2310" width="13" style="14" bestFit="1" customWidth="1"/>
    <col min="2311" max="2311" width="12" style="14" bestFit="1" customWidth="1"/>
    <col min="2312" max="2312" width="11.28515625" style="14" customWidth="1"/>
    <col min="2313" max="2313" width="13.85546875" style="14" bestFit="1" customWidth="1"/>
    <col min="2314" max="2314" width="15" style="14" customWidth="1"/>
    <col min="2315" max="2560" width="10.42578125" style="14"/>
    <col min="2561" max="2561" width="5.28515625" style="14" customWidth="1"/>
    <col min="2562" max="2563" width="10.42578125" style="14"/>
    <col min="2564" max="2564" width="8.5703125" style="14" customWidth="1"/>
    <col min="2565" max="2565" width="13.85546875" style="14" bestFit="1" customWidth="1"/>
    <col min="2566" max="2566" width="13" style="14" bestFit="1" customWidth="1"/>
    <col min="2567" max="2567" width="12" style="14" bestFit="1" customWidth="1"/>
    <col min="2568" max="2568" width="11.28515625" style="14" customWidth="1"/>
    <col min="2569" max="2569" width="13.85546875" style="14" bestFit="1" customWidth="1"/>
    <col min="2570" max="2570" width="15" style="14" customWidth="1"/>
    <col min="2571" max="2816" width="10.42578125" style="14"/>
    <col min="2817" max="2817" width="5.28515625" style="14" customWidth="1"/>
    <col min="2818" max="2819" width="10.42578125" style="14"/>
    <col min="2820" max="2820" width="8.5703125" style="14" customWidth="1"/>
    <col min="2821" max="2821" width="13.85546875" style="14" bestFit="1" customWidth="1"/>
    <col min="2822" max="2822" width="13" style="14" bestFit="1" customWidth="1"/>
    <col min="2823" max="2823" width="12" style="14" bestFit="1" customWidth="1"/>
    <col min="2824" max="2824" width="11.28515625" style="14" customWidth="1"/>
    <col min="2825" max="2825" width="13.85546875" style="14" bestFit="1" customWidth="1"/>
    <col min="2826" max="2826" width="15" style="14" customWidth="1"/>
    <col min="2827" max="3072" width="10.42578125" style="14"/>
    <col min="3073" max="3073" width="5.28515625" style="14" customWidth="1"/>
    <col min="3074" max="3075" width="10.42578125" style="14"/>
    <col min="3076" max="3076" width="8.5703125" style="14" customWidth="1"/>
    <col min="3077" max="3077" width="13.85546875" style="14" bestFit="1" customWidth="1"/>
    <col min="3078" max="3078" width="13" style="14" bestFit="1" customWidth="1"/>
    <col min="3079" max="3079" width="12" style="14" bestFit="1" customWidth="1"/>
    <col min="3080" max="3080" width="11.28515625" style="14" customWidth="1"/>
    <col min="3081" max="3081" width="13.85546875" style="14" bestFit="1" customWidth="1"/>
    <col min="3082" max="3082" width="15" style="14" customWidth="1"/>
    <col min="3083" max="3328" width="10.42578125" style="14"/>
    <col min="3329" max="3329" width="5.28515625" style="14" customWidth="1"/>
    <col min="3330" max="3331" width="10.42578125" style="14"/>
    <col min="3332" max="3332" width="8.5703125" style="14" customWidth="1"/>
    <col min="3333" max="3333" width="13.85546875" style="14" bestFit="1" customWidth="1"/>
    <col min="3334" max="3334" width="13" style="14" bestFit="1" customWidth="1"/>
    <col min="3335" max="3335" width="12" style="14" bestFit="1" customWidth="1"/>
    <col min="3336" max="3336" width="11.28515625" style="14" customWidth="1"/>
    <col min="3337" max="3337" width="13.85546875" style="14" bestFit="1" customWidth="1"/>
    <col min="3338" max="3338" width="15" style="14" customWidth="1"/>
    <col min="3339" max="3584" width="10.42578125" style="14"/>
    <col min="3585" max="3585" width="5.28515625" style="14" customWidth="1"/>
    <col min="3586" max="3587" width="10.42578125" style="14"/>
    <col min="3588" max="3588" width="8.5703125" style="14" customWidth="1"/>
    <col min="3589" max="3589" width="13.85546875" style="14" bestFit="1" customWidth="1"/>
    <col min="3590" max="3590" width="13" style="14" bestFit="1" customWidth="1"/>
    <col min="3591" max="3591" width="12" style="14" bestFit="1" customWidth="1"/>
    <col min="3592" max="3592" width="11.28515625" style="14" customWidth="1"/>
    <col min="3593" max="3593" width="13.85546875" style="14" bestFit="1" customWidth="1"/>
    <col min="3594" max="3594" width="15" style="14" customWidth="1"/>
    <col min="3595" max="3840" width="10.42578125" style="14"/>
    <col min="3841" max="3841" width="5.28515625" style="14" customWidth="1"/>
    <col min="3842" max="3843" width="10.42578125" style="14"/>
    <col min="3844" max="3844" width="8.5703125" style="14" customWidth="1"/>
    <col min="3845" max="3845" width="13.85546875" style="14" bestFit="1" customWidth="1"/>
    <col min="3846" max="3846" width="13" style="14" bestFit="1" customWidth="1"/>
    <col min="3847" max="3847" width="12" style="14" bestFit="1" customWidth="1"/>
    <col min="3848" max="3848" width="11.28515625" style="14" customWidth="1"/>
    <col min="3849" max="3849" width="13.85546875" style="14" bestFit="1" customWidth="1"/>
    <col min="3850" max="3850" width="15" style="14" customWidth="1"/>
    <col min="3851" max="4096" width="10.42578125" style="14"/>
    <col min="4097" max="4097" width="5.28515625" style="14" customWidth="1"/>
    <col min="4098" max="4099" width="10.42578125" style="14"/>
    <col min="4100" max="4100" width="8.5703125" style="14" customWidth="1"/>
    <col min="4101" max="4101" width="13.85546875" style="14" bestFit="1" customWidth="1"/>
    <col min="4102" max="4102" width="13" style="14" bestFit="1" customWidth="1"/>
    <col min="4103" max="4103" width="12" style="14" bestFit="1" customWidth="1"/>
    <col min="4104" max="4104" width="11.28515625" style="14" customWidth="1"/>
    <col min="4105" max="4105" width="13.85546875" style="14" bestFit="1" customWidth="1"/>
    <col min="4106" max="4106" width="15" style="14" customWidth="1"/>
    <col min="4107" max="4352" width="10.42578125" style="14"/>
    <col min="4353" max="4353" width="5.28515625" style="14" customWidth="1"/>
    <col min="4354" max="4355" width="10.42578125" style="14"/>
    <col min="4356" max="4356" width="8.5703125" style="14" customWidth="1"/>
    <col min="4357" max="4357" width="13.85546875" style="14" bestFit="1" customWidth="1"/>
    <col min="4358" max="4358" width="13" style="14" bestFit="1" customWidth="1"/>
    <col min="4359" max="4359" width="12" style="14" bestFit="1" customWidth="1"/>
    <col min="4360" max="4360" width="11.28515625" style="14" customWidth="1"/>
    <col min="4361" max="4361" width="13.85546875" style="14" bestFit="1" customWidth="1"/>
    <col min="4362" max="4362" width="15" style="14" customWidth="1"/>
    <col min="4363" max="4608" width="10.42578125" style="14"/>
    <col min="4609" max="4609" width="5.28515625" style="14" customWidth="1"/>
    <col min="4610" max="4611" width="10.42578125" style="14"/>
    <col min="4612" max="4612" width="8.5703125" style="14" customWidth="1"/>
    <col min="4613" max="4613" width="13.85546875" style="14" bestFit="1" customWidth="1"/>
    <col min="4614" max="4614" width="13" style="14" bestFit="1" customWidth="1"/>
    <col min="4615" max="4615" width="12" style="14" bestFit="1" customWidth="1"/>
    <col min="4616" max="4616" width="11.28515625" style="14" customWidth="1"/>
    <col min="4617" max="4617" width="13.85546875" style="14" bestFit="1" customWidth="1"/>
    <col min="4618" max="4618" width="15" style="14" customWidth="1"/>
    <col min="4619" max="4864" width="10.42578125" style="14"/>
    <col min="4865" max="4865" width="5.28515625" style="14" customWidth="1"/>
    <col min="4866" max="4867" width="10.42578125" style="14"/>
    <col min="4868" max="4868" width="8.5703125" style="14" customWidth="1"/>
    <col min="4869" max="4869" width="13.85546875" style="14" bestFit="1" customWidth="1"/>
    <col min="4870" max="4870" width="13" style="14" bestFit="1" customWidth="1"/>
    <col min="4871" max="4871" width="12" style="14" bestFit="1" customWidth="1"/>
    <col min="4872" max="4872" width="11.28515625" style="14" customWidth="1"/>
    <col min="4873" max="4873" width="13.85546875" style="14" bestFit="1" customWidth="1"/>
    <col min="4874" max="4874" width="15" style="14" customWidth="1"/>
    <col min="4875" max="5120" width="10.42578125" style="14"/>
    <col min="5121" max="5121" width="5.28515625" style="14" customWidth="1"/>
    <col min="5122" max="5123" width="10.42578125" style="14"/>
    <col min="5124" max="5124" width="8.5703125" style="14" customWidth="1"/>
    <col min="5125" max="5125" width="13.85546875" style="14" bestFit="1" customWidth="1"/>
    <col min="5126" max="5126" width="13" style="14" bestFit="1" customWidth="1"/>
    <col min="5127" max="5127" width="12" style="14" bestFit="1" customWidth="1"/>
    <col min="5128" max="5128" width="11.28515625" style="14" customWidth="1"/>
    <col min="5129" max="5129" width="13.85546875" style="14" bestFit="1" customWidth="1"/>
    <col min="5130" max="5130" width="15" style="14" customWidth="1"/>
    <col min="5131" max="5376" width="10.42578125" style="14"/>
    <col min="5377" max="5377" width="5.28515625" style="14" customWidth="1"/>
    <col min="5378" max="5379" width="10.42578125" style="14"/>
    <col min="5380" max="5380" width="8.5703125" style="14" customWidth="1"/>
    <col min="5381" max="5381" width="13.85546875" style="14" bestFit="1" customWidth="1"/>
    <col min="5382" max="5382" width="13" style="14" bestFit="1" customWidth="1"/>
    <col min="5383" max="5383" width="12" style="14" bestFit="1" customWidth="1"/>
    <col min="5384" max="5384" width="11.28515625" style="14" customWidth="1"/>
    <col min="5385" max="5385" width="13.85546875" style="14" bestFit="1" customWidth="1"/>
    <col min="5386" max="5386" width="15" style="14" customWidth="1"/>
    <col min="5387" max="5632" width="10.42578125" style="14"/>
    <col min="5633" max="5633" width="5.28515625" style="14" customWidth="1"/>
    <col min="5634" max="5635" width="10.42578125" style="14"/>
    <col min="5636" max="5636" width="8.5703125" style="14" customWidth="1"/>
    <col min="5637" max="5637" width="13.85546875" style="14" bestFit="1" customWidth="1"/>
    <col min="5638" max="5638" width="13" style="14" bestFit="1" customWidth="1"/>
    <col min="5639" max="5639" width="12" style="14" bestFit="1" customWidth="1"/>
    <col min="5640" max="5640" width="11.28515625" style="14" customWidth="1"/>
    <col min="5641" max="5641" width="13.85546875" style="14" bestFit="1" customWidth="1"/>
    <col min="5642" max="5642" width="15" style="14" customWidth="1"/>
    <col min="5643" max="5888" width="10.42578125" style="14"/>
    <col min="5889" max="5889" width="5.28515625" style="14" customWidth="1"/>
    <col min="5890" max="5891" width="10.42578125" style="14"/>
    <col min="5892" max="5892" width="8.5703125" style="14" customWidth="1"/>
    <col min="5893" max="5893" width="13.85546875" style="14" bestFit="1" customWidth="1"/>
    <col min="5894" max="5894" width="13" style="14" bestFit="1" customWidth="1"/>
    <col min="5895" max="5895" width="12" style="14" bestFit="1" customWidth="1"/>
    <col min="5896" max="5896" width="11.28515625" style="14" customWidth="1"/>
    <col min="5897" max="5897" width="13.85546875" style="14" bestFit="1" customWidth="1"/>
    <col min="5898" max="5898" width="15" style="14" customWidth="1"/>
    <col min="5899" max="6144" width="10.42578125" style="14"/>
    <col min="6145" max="6145" width="5.28515625" style="14" customWidth="1"/>
    <col min="6146" max="6147" width="10.42578125" style="14"/>
    <col min="6148" max="6148" width="8.5703125" style="14" customWidth="1"/>
    <col min="6149" max="6149" width="13.85546875" style="14" bestFit="1" customWidth="1"/>
    <col min="6150" max="6150" width="13" style="14" bestFit="1" customWidth="1"/>
    <col min="6151" max="6151" width="12" style="14" bestFit="1" customWidth="1"/>
    <col min="6152" max="6152" width="11.28515625" style="14" customWidth="1"/>
    <col min="6153" max="6153" width="13.85546875" style="14" bestFit="1" customWidth="1"/>
    <col min="6154" max="6154" width="15" style="14" customWidth="1"/>
    <col min="6155" max="6400" width="10.42578125" style="14"/>
    <col min="6401" max="6401" width="5.28515625" style="14" customWidth="1"/>
    <col min="6402" max="6403" width="10.42578125" style="14"/>
    <col min="6404" max="6404" width="8.5703125" style="14" customWidth="1"/>
    <col min="6405" max="6405" width="13.85546875" style="14" bestFit="1" customWidth="1"/>
    <col min="6406" max="6406" width="13" style="14" bestFit="1" customWidth="1"/>
    <col min="6407" max="6407" width="12" style="14" bestFit="1" customWidth="1"/>
    <col min="6408" max="6408" width="11.28515625" style="14" customWidth="1"/>
    <col min="6409" max="6409" width="13.85546875" style="14" bestFit="1" customWidth="1"/>
    <col min="6410" max="6410" width="15" style="14" customWidth="1"/>
    <col min="6411" max="6656" width="10.42578125" style="14"/>
    <col min="6657" max="6657" width="5.28515625" style="14" customWidth="1"/>
    <col min="6658" max="6659" width="10.42578125" style="14"/>
    <col min="6660" max="6660" width="8.5703125" style="14" customWidth="1"/>
    <col min="6661" max="6661" width="13.85546875" style="14" bestFit="1" customWidth="1"/>
    <col min="6662" max="6662" width="13" style="14" bestFit="1" customWidth="1"/>
    <col min="6663" max="6663" width="12" style="14" bestFit="1" customWidth="1"/>
    <col min="6664" max="6664" width="11.28515625" style="14" customWidth="1"/>
    <col min="6665" max="6665" width="13.85546875" style="14" bestFit="1" customWidth="1"/>
    <col min="6666" max="6666" width="15" style="14" customWidth="1"/>
    <col min="6667" max="6912" width="10.42578125" style="14"/>
    <col min="6913" max="6913" width="5.28515625" style="14" customWidth="1"/>
    <col min="6914" max="6915" width="10.42578125" style="14"/>
    <col min="6916" max="6916" width="8.5703125" style="14" customWidth="1"/>
    <col min="6917" max="6917" width="13.85546875" style="14" bestFit="1" customWidth="1"/>
    <col min="6918" max="6918" width="13" style="14" bestFit="1" customWidth="1"/>
    <col min="6919" max="6919" width="12" style="14" bestFit="1" customWidth="1"/>
    <col min="6920" max="6920" width="11.28515625" style="14" customWidth="1"/>
    <col min="6921" max="6921" width="13.85546875" style="14" bestFit="1" customWidth="1"/>
    <col min="6922" max="6922" width="15" style="14" customWidth="1"/>
    <col min="6923" max="7168" width="10.42578125" style="14"/>
    <col min="7169" max="7169" width="5.28515625" style="14" customWidth="1"/>
    <col min="7170" max="7171" width="10.42578125" style="14"/>
    <col min="7172" max="7172" width="8.5703125" style="14" customWidth="1"/>
    <col min="7173" max="7173" width="13.85546875" style="14" bestFit="1" customWidth="1"/>
    <col min="7174" max="7174" width="13" style="14" bestFit="1" customWidth="1"/>
    <col min="7175" max="7175" width="12" style="14" bestFit="1" customWidth="1"/>
    <col min="7176" max="7176" width="11.28515625" style="14" customWidth="1"/>
    <col min="7177" max="7177" width="13.85546875" style="14" bestFit="1" customWidth="1"/>
    <col min="7178" max="7178" width="15" style="14" customWidth="1"/>
    <col min="7179" max="7424" width="10.42578125" style="14"/>
    <col min="7425" max="7425" width="5.28515625" style="14" customWidth="1"/>
    <col min="7426" max="7427" width="10.42578125" style="14"/>
    <col min="7428" max="7428" width="8.5703125" style="14" customWidth="1"/>
    <col min="7429" max="7429" width="13.85546875" style="14" bestFit="1" customWidth="1"/>
    <col min="7430" max="7430" width="13" style="14" bestFit="1" customWidth="1"/>
    <col min="7431" max="7431" width="12" style="14" bestFit="1" customWidth="1"/>
    <col min="7432" max="7432" width="11.28515625" style="14" customWidth="1"/>
    <col min="7433" max="7433" width="13.85546875" style="14" bestFit="1" customWidth="1"/>
    <col min="7434" max="7434" width="15" style="14" customWidth="1"/>
    <col min="7435" max="7680" width="10.42578125" style="14"/>
    <col min="7681" max="7681" width="5.28515625" style="14" customWidth="1"/>
    <col min="7682" max="7683" width="10.42578125" style="14"/>
    <col min="7684" max="7684" width="8.5703125" style="14" customWidth="1"/>
    <col min="7685" max="7685" width="13.85546875" style="14" bestFit="1" customWidth="1"/>
    <col min="7686" max="7686" width="13" style="14" bestFit="1" customWidth="1"/>
    <col min="7687" max="7687" width="12" style="14" bestFit="1" customWidth="1"/>
    <col min="7688" max="7688" width="11.28515625" style="14" customWidth="1"/>
    <col min="7689" max="7689" width="13.85546875" style="14" bestFit="1" customWidth="1"/>
    <col min="7690" max="7690" width="15" style="14" customWidth="1"/>
    <col min="7691" max="7936" width="10.42578125" style="14"/>
    <col min="7937" max="7937" width="5.28515625" style="14" customWidth="1"/>
    <col min="7938" max="7939" width="10.42578125" style="14"/>
    <col min="7940" max="7940" width="8.5703125" style="14" customWidth="1"/>
    <col min="7941" max="7941" width="13.85546875" style="14" bestFit="1" customWidth="1"/>
    <col min="7942" max="7942" width="13" style="14" bestFit="1" customWidth="1"/>
    <col min="7943" max="7943" width="12" style="14" bestFit="1" customWidth="1"/>
    <col min="7944" max="7944" width="11.28515625" style="14" customWidth="1"/>
    <col min="7945" max="7945" width="13.85546875" style="14" bestFit="1" customWidth="1"/>
    <col min="7946" max="7946" width="15" style="14" customWidth="1"/>
    <col min="7947" max="8192" width="10.42578125" style="14"/>
    <col min="8193" max="8193" width="5.28515625" style="14" customWidth="1"/>
    <col min="8194" max="8195" width="10.42578125" style="14"/>
    <col min="8196" max="8196" width="8.5703125" style="14" customWidth="1"/>
    <col min="8197" max="8197" width="13.85546875" style="14" bestFit="1" customWidth="1"/>
    <col min="8198" max="8198" width="13" style="14" bestFit="1" customWidth="1"/>
    <col min="8199" max="8199" width="12" style="14" bestFit="1" customWidth="1"/>
    <col min="8200" max="8200" width="11.28515625" style="14" customWidth="1"/>
    <col min="8201" max="8201" width="13.85546875" style="14" bestFit="1" customWidth="1"/>
    <col min="8202" max="8202" width="15" style="14" customWidth="1"/>
    <col min="8203" max="8448" width="10.42578125" style="14"/>
    <col min="8449" max="8449" width="5.28515625" style="14" customWidth="1"/>
    <col min="8450" max="8451" width="10.42578125" style="14"/>
    <col min="8452" max="8452" width="8.5703125" style="14" customWidth="1"/>
    <col min="8453" max="8453" width="13.85546875" style="14" bestFit="1" customWidth="1"/>
    <col min="8454" max="8454" width="13" style="14" bestFit="1" customWidth="1"/>
    <col min="8455" max="8455" width="12" style="14" bestFit="1" customWidth="1"/>
    <col min="8456" max="8456" width="11.28515625" style="14" customWidth="1"/>
    <col min="8457" max="8457" width="13.85546875" style="14" bestFit="1" customWidth="1"/>
    <col min="8458" max="8458" width="15" style="14" customWidth="1"/>
    <col min="8459" max="8704" width="10.42578125" style="14"/>
    <col min="8705" max="8705" width="5.28515625" style="14" customWidth="1"/>
    <col min="8706" max="8707" width="10.42578125" style="14"/>
    <col min="8708" max="8708" width="8.5703125" style="14" customWidth="1"/>
    <col min="8709" max="8709" width="13.85546875" style="14" bestFit="1" customWidth="1"/>
    <col min="8710" max="8710" width="13" style="14" bestFit="1" customWidth="1"/>
    <col min="8711" max="8711" width="12" style="14" bestFit="1" customWidth="1"/>
    <col min="8712" max="8712" width="11.28515625" style="14" customWidth="1"/>
    <col min="8713" max="8713" width="13.85546875" style="14" bestFit="1" customWidth="1"/>
    <col min="8714" max="8714" width="15" style="14" customWidth="1"/>
    <col min="8715" max="8960" width="10.42578125" style="14"/>
    <col min="8961" max="8961" width="5.28515625" style="14" customWidth="1"/>
    <col min="8962" max="8963" width="10.42578125" style="14"/>
    <col min="8964" max="8964" width="8.5703125" style="14" customWidth="1"/>
    <col min="8965" max="8965" width="13.85546875" style="14" bestFit="1" customWidth="1"/>
    <col min="8966" max="8966" width="13" style="14" bestFit="1" customWidth="1"/>
    <col min="8967" max="8967" width="12" style="14" bestFit="1" customWidth="1"/>
    <col min="8968" max="8968" width="11.28515625" style="14" customWidth="1"/>
    <col min="8969" max="8969" width="13.85546875" style="14" bestFit="1" customWidth="1"/>
    <col min="8970" max="8970" width="15" style="14" customWidth="1"/>
    <col min="8971" max="9216" width="10.42578125" style="14"/>
    <col min="9217" max="9217" width="5.28515625" style="14" customWidth="1"/>
    <col min="9218" max="9219" width="10.42578125" style="14"/>
    <col min="9220" max="9220" width="8.5703125" style="14" customWidth="1"/>
    <col min="9221" max="9221" width="13.85546875" style="14" bestFit="1" customWidth="1"/>
    <col min="9222" max="9222" width="13" style="14" bestFit="1" customWidth="1"/>
    <col min="9223" max="9223" width="12" style="14" bestFit="1" customWidth="1"/>
    <col min="9224" max="9224" width="11.28515625" style="14" customWidth="1"/>
    <col min="9225" max="9225" width="13.85546875" style="14" bestFit="1" customWidth="1"/>
    <col min="9226" max="9226" width="15" style="14" customWidth="1"/>
    <col min="9227" max="9472" width="10.42578125" style="14"/>
    <col min="9473" max="9473" width="5.28515625" style="14" customWidth="1"/>
    <col min="9474" max="9475" width="10.42578125" style="14"/>
    <col min="9476" max="9476" width="8.5703125" style="14" customWidth="1"/>
    <col min="9477" max="9477" width="13.85546875" style="14" bestFit="1" customWidth="1"/>
    <col min="9478" max="9478" width="13" style="14" bestFit="1" customWidth="1"/>
    <col min="9479" max="9479" width="12" style="14" bestFit="1" customWidth="1"/>
    <col min="9480" max="9480" width="11.28515625" style="14" customWidth="1"/>
    <col min="9481" max="9481" width="13.85546875" style="14" bestFit="1" customWidth="1"/>
    <col min="9482" max="9482" width="15" style="14" customWidth="1"/>
    <col min="9483" max="9728" width="10.42578125" style="14"/>
    <col min="9729" max="9729" width="5.28515625" style="14" customWidth="1"/>
    <col min="9730" max="9731" width="10.42578125" style="14"/>
    <col min="9732" max="9732" width="8.5703125" style="14" customWidth="1"/>
    <col min="9733" max="9733" width="13.85546875" style="14" bestFit="1" customWidth="1"/>
    <col min="9734" max="9734" width="13" style="14" bestFit="1" customWidth="1"/>
    <col min="9735" max="9735" width="12" style="14" bestFit="1" customWidth="1"/>
    <col min="9736" max="9736" width="11.28515625" style="14" customWidth="1"/>
    <col min="9737" max="9737" width="13.85546875" style="14" bestFit="1" customWidth="1"/>
    <col min="9738" max="9738" width="15" style="14" customWidth="1"/>
    <col min="9739" max="9984" width="10.42578125" style="14"/>
    <col min="9985" max="9985" width="5.28515625" style="14" customWidth="1"/>
    <col min="9986" max="9987" width="10.42578125" style="14"/>
    <col min="9988" max="9988" width="8.5703125" style="14" customWidth="1"/>
    <col min="9989" max="9989" width="13.85546875" style="14" bestFit="1" customWidth="1"/>
    <col min="9990" max="9990" width="13" style="14" bestFit="1" customWidth="1"/>
    <col min="9991" max="9991" width="12" style="14" bestFit="1" customWidth="1"/>
    <col min="9992" max="9992" width="11.28515625" style="14" customWidth="1"/>
    <col min="9993" max="9993" width="13.85546875" style="14" bestFit="1" customWidth="1"/>
    <col min="9994" max="9994" width="15" style="14" customWidth="1"/>
    <col min="9995" max="10240" width="10.42578125" style="14"/>
    <col min="10241" max="10241" width="5.28515625" style="14" customWidth="1"/>
    <col min="10242" max="10243" width="10.42578125" style="14"/>
    <col min="10244" max="10244" width="8.5703125" style="14" customWidth="1"/>
    <col min="10245" max="10245" width="13.85546875" style="14" bestFit="1" customWidth="1"/>
    <col min="10246" max="10246" width="13" style="14" bestFit="1" customWidth="1"/>
    <col min="10247" max="10247" width="12" style="14" bestFit="1" customWidth="1"/>
    <col min="10248" max="10248" width="11.28515625" style="14" customWidth="1"/>
    <col min="10249" max="10249" width="13.85546875" style="14" bestFit="1" customWidth="1"/>
    <col min="10250" max="10250" width="15" style="14" customWidth="1"/>
    <col min="10251" max="10496" width="10.42578125" style="14"/>
    <col min="10497" max="10497" width="5.28515625" style="14" customWidth="1"/>
    <col min="10498" max="10499" width="10.42578125" style="14"/>
    <col min="10500" max="10500" width="8.5703125" style="14" customWidth="1"/>
    <col min="10501" max="10501" width="13.85546875" style="14" bestFit="1" customWidth="1"/>
    <col min="10502" max="10502" width="13" style="14" bestFit="1" customWidth="1"/>
    <col min="10503" max="10503" width="12" style="14" bestFit="1" customWidth="1"/>
    <col min="10504" max="10504" width="11.28515625" style="14" customWidth="1"/>
    <col min="10505" max="10505" width="13.85546875" style="14" bestFit="1" customWidth="1"/>
    <col min="10506" max="10506" width="15" style="14" customWidth="1"/>
    <col min="10507" max="10752" width="10.42578125" style="14"/>
    <col min="10753" max="10753" width="5.28515625" style="14" customWidth="1"/>
    <col min="10754" max="10755" width="10.42578125" style="14"/>
    <col min="10756" max="10756" width="8.5703125" style="14" customWidth="1"/>
    <col min="10757" max="10757" width="13.85546875" style="14" bestFit="1" customWidth="1"/>
    <col min="10758" max="10758" width="13" style="14" bestFit="1" customWidth="1"/>
    <col min="10759" max="10759" width="12" style="14" bestFit="1" customWidth="1"/>
    <col min="10760" max="10760" width="11.28515625" style="14" customWidth="1"/>
    <col min="10761" max="10761" width="13.85546875" style="14" bestFit="1" customWidth="1"/>
    <col min="10762" max="10762" width="15" style="14" customWidth="1"/>
    <col min="10763" max="11008" width="10.42578125" style="14"/>
    <col min="11009" max="11009" width="5.28515625" style="14" customWidth="1"/>
    <col min="11010" max="11011" width="10.42578125" style="14"/>
    <col min="11012" max="11012" width="8.5703125" style="14" customWidth="1"/>
    <col min="11013" max="11013" width="13.85546875" style="14" bestFit="1" customWidth="1"/>
    <col min="11014" max="11014" width="13" style="14" bestFit="1" customWidth="1"/>
    <col min="11015" max="11015" width="12" style="14" bestFit="1" customWidth="1"/>
    <col min="11016" max="11016" width="11.28515625" style="14" customWidth="1"/>
    <col min="11017" max="11017" width="13.85546875" style="14" bestFit="1" customWidth="1"/>
    <col min="11018" max="11018" width="15" style="14" customWidth="1"/>
    <col min="11019" max="11264" width="10.42578125" style="14"/>
    <col min="11265" max="11265" width="5.28515625" style="14" customWidth="1"/>
    <col min="11266" max="11267" width="10.42578125" style="14"/>
    <col min="11268" max="11268" width="8.5703125" style="14" customWidth="1"/>
    <col min="11269" max="11269" width="13.85546875" style="14" bestFit="1" customWidth="1"/>
    <col min="11270" max="11270" width="13" style="14" bestFit="1" customWidth="1"/>
    <col min="11271" max="11271" width="12" style="14" bestFit="1" customWidth="1"/>
    <col min="11272" max="11272" width="11.28515625" style="14" customWidth="1"/>
    <col min="11273" max="11273" width="13.85546875" style="14" bestFit="1" customWidth="1"/>
    <col min="11274" max="11274" width="15" style="14" customWidth="1"/>
    <col min="11275" max="11520" width="10.42578125" style="14"/>
    <col min="11521" max="11521" width="5.28515625" style="14" customWidth="1"/>
    <col min="11522" max="11523" width="10.42578125" style="14"/>
    <col min="11524" max="11524" width="8.5703125" style="14" customWidth="1"/>
    <col min="11525" max="11525" width="13.85546875" style="14" bestFit="1" customWidth="1"/>
    <col min="11526" max="11526" width="13" style="14" bestFit="1" customWidth="1"/>
    <col min="11527" max="11527" width="12" style="14" bestFit="1" customWidth="1"/>
    <col min="11528" max="11528" width="11.28515625" style="14" customWidth="1"/>
    <col min="11529" max="11529" width="13.85546875" style="14" bestFit="1" customWidth="1"/>
    <col min="11530" max="11530" width="15" style="14" customWidth="1"/>
    <col min="11531" max="11776" width="10.42578125" style="14"/>
    <col min="11777" max="11777" width="5.28515625" style="14" customWidth="1"/>
    <col min="11778" max="11779" width="10.42578125" style="14"/>
    <col min="11780" max="11780" width="8.5703125" style="14" customWidth="1"/>
    <col min="11781" max="11781" width="13.85546875" style="14" bestFit="1" customWidth="1"/>
    <col min="11782" max="11782" width="13" style="14" bestFit="1" customWidth="1"/>
    <col min="11783" max="11783" width="12" style="14" bestFit="1" customWidth="1"/>
    <col min="11784" max="11784" width="11.28515625" style="14" customWidth="1"/>
    <col min="11785" max="11785" width="13.85546875" style="14" bestFit="1" customWidth="1"/>
    <col min="11786" max="11786" width="15" style="14" customWidth="1"/>
    <col min="11787" max="12032" width="10.42578125" style="14"/>
    <col min="12033" max="12033" width="5.28515625" style="14" customWidth="1"/>
    <col min="12034" max="12035" width="10.42578125" style="14"/>
    <col min="12036" max="12036" width="8.5703125" style="14" customWidth="1"/>
    <col min="12037" max="12037" width="13.85546875" style="14" bestFit="1" customWidth="1"/>
    <col min="12038" max="12038" width="13" style="14" bestFit="1" customWidth="1"/>
    <col min="12039" max="12039" width="12" style="14" bestFit="1" customWidth="1"/>
    <col min="12040" max="12040" width="11.28515625" style="14" customWidth="1"/>
    <col min="12041" max="12041" width="13.85546875" style="14" bestFit="1" customWidth="1"/>
    <col min="12042" max="12042" width="15" style="14" customWidth="1"/>
    <col min="12043" max="12288" width="10.42578125" style="14"/>
    <col min="12289" max="12289" width="5.28515625" style="14" customWidth="1"/>
    <col min="12290" max="12291" width="10.42578125" style="14"/>
    <col min="12292" max="12292" width="8.5703125" style="14" customWidth="1"/>
    <col min="12293" max="12293" width="13.85546875" style="14" bestFit="1" customWidth="1"/>
    <col min="12294" max="12294" width="13" style="14" bestFit="1" customWidth="1"/>
    <col min="12295" max="12295" width="12" style="14" bestFit="1" customWidth="1"/>
    <col min="12296" max="12296" width="11.28515625" style="14" customWidth="1"/>
    <col min="12297" max="12297" width="13.85546875" style="14" bestFit="1" customWidth="1"/>
    <col min="12298" max="12298" width="15" style="14" customWidth="1"/>
    <col min="12299" max="12544" width="10.42578125" style="14"/>
    <col min="12545" max="12545" width="5.28515625" style="14" customWidth="1"/>
    <col min="12546" max="12547" width="10.42578125" style="14"/>
    <col min="12548" max="12548" width="8.5703125" style="14" customWidth="1"/>
    <col min="12549" max="12549" width="13.85546875" style="14" bestFit="1" customWidth="1"/>
    <col min="12550" max="12550" width="13" style="14" bestFit="1" customWidth="1"/>
    <col min="12551" max="12551" width="12" style="14" bestFit="1" customWidth="1"/>
    <col min="12552" max="12552" width="11.28515625" style="14" customWidth="1"/>
    <col min="12553" max="12553" width="13.85546875" style="14" bestFit="1" customWidth="1"/>
    <col min="12554" max="12554" width="15" style="14" customWidth="1"/>
    <col min="12555" max="12800" width="10.42578125" style="14"/>
    <col min="12801" max="12801" width="5.28515625" style="14" customWidth="1"/>
    <col min="12802" max="12803" width="10.42578125" style="14"/>
    <col min="12804" max="12804" width="8.5703125" style="14" customWidth="1"/>
    <col min="12805" max="12805" width="13.85546875" style="14" bestFit="1" customWidth="1"/>
    <col min="12806" max="12806" width="13" style="14" bestFit="1" customWidth="1"/>
    <col min="12807" max="12807" width="12" style="14" bestFit="1" customWidth="1"/>
    <col min="12808" max="12808" width="11.28515625" style="14" customWidth="1"/>
    <col min="12809" max="12809" width="13.85546875" style="14" bestFit="1" customWidth="1"/>
    <col min="12810" max="12810" width="15" style="14" customWidth="1"/>
    <col min="12811" max="13056" width="10.42578125" style="14"/>
    <col min="13057" max="13057" width="5.28515625" style="14" customWidth="1"/>
    <col min="13058" max="13059" width="10.42578125" style="14"/>
    <col min="13060" max="13060" width="8.5703125" style="14" customWidth="1"/>
    <col min="13061" max="13061" width="13.85546875" style="14" bestFit="1" customWidth="1"/>
    <col min="13062" max="13062" width="13" style="14" bestFit="1" customWidth="1"/>
    <col min="13063" max="13063" width="12" style="14" bestFit="1" customWidth="1"/>
    <col min="13064" max="13064" width="11.28515625" style="14" customWidth="1"/>
    <col min="13065" max="13065" width="13.85546875" style="14" bestFit="1" customWidth="1"/>
    <col min="13066" max="13066" width="15" style="14" customWidth="1"/>
    <col min="13067" max="13312" width="10.42578125" style="14"/>
    <col min="13313" max="13313" width="5.28515625" style="14" customWidth="1"/>
    <col min="13314" max="13315" width="10.42578125" style="14"/>
    <col min="13316" max="13316" width="8.5703125" style="14" customWidth="1"/>
    <col min="13317" max="13317" width="13.85546875" style="14" bestFit="1" customWidth="1"/>
    <col min="13318" max="13318" width="13" style="14" bestFit="1" customWidth="1"/>
    <col min="13319" max="13319" width="12" style="14" bestFit="1" customWidth="1"/>
    <col min="13320" max="13320" width="11.28515625" style="14" customWidth="1"/>
    <col min="13321" max="13321" width="13.85546875" style="14" bestFit="1" customWidth="1"/>
    <col min="13322" max="13322" width="15" style="14" customWidth="1"/>
    <col min="13323" max="13568" width="10.42578125" style="14"/>
    <col min="13569" max="13569" width="5.28515625" style="14" customWidth="1"/>
    <col min="13570" max="13571" width="10.42578125" style="14"/>
    <col min="13572" max="13572" width="8.5703125" style="14" customWidth="1"/>
    <col min="13573" max="13573" width="13.85546875" style="14" bestFit="1" customWidth="1"/>
    <col min="13574" max="13574" width="13" style="14" bestFit="1" customWidth="1"/>
    <col min="13575" max="13575" width="12" style="14" bestFit="1" customWidth="1"/>
    <col min="13576" max="13576" width="11.28515625" style="14" customWidth="1"/>
    <col min="13577" max="13577" width="13.85546875" style="14" bestFit="1" customWidth="1"/>
    <col min="13578" max="13578" width="15" style="14" customWidth="1"/>
    <col min="13579" max="13824" width="10.42578125" style="14"/>
    <col min="13825" max="13825" width="5.28515625" style="14" customWidth="1"/>
    <col min="13826" max="13827" width="10.42578125" style="14"/>
    <col min="13828" max="13828" width="8.5703125" style="14" customWidth="1"/>
    <col min="13829" max="13829" width="13.85546875" style="14" bestFit="1" customWidth="1"/>
    <col min="13830" max="13830" width="13" style="14" bestFit="1" customWidth="1"/>
    <col min="13831" max="13831" width="12" style="14" bestFit="1" customWidth="1"/>
    <col min="13832" max="13832" width="11.28515625" style="14" customWidth="1"/>
    <col min="13833" max="13833" width="13.85546875" style="14" bestFit="1" customWidth="1"/>
    <col min="13834" max="13834" width="15" style="14" customWidth="1"/>
    <col min="13835" max="14080" width="10.42578125" style="14"/>
    <col min="14081" max="14081" width="5.28515625" style="14" customWidth="1"/>
    <col min="14082" max="14083" width="10.42578125" style="14"/>
    <col min="14084" max="14084" width="8.5703125" style="14" customWidth="1"/>
    <col min="14085" max="14085" width="13.85546875" style="14" bestFit="1" customWidth="1"/>
    <col min="14086" max="14086" width="13" style="14" bestFit="1" customWidth="1"/>
    <col min="14087" max="14087" width="12" style="14" bestFit="1" customWidth="1"/>
    <col min="14088" max="14088" width="11.28515625" style="14" customWidth="1"/>
    <col min="14089" max="14089" width="13.85546875" style="14" bestFit="1" customWidth="1"/>
    <col min="14090" max="14090" width="15" style="14" customWidth="1"/>
    <col min="14091" max="14336" width="10.42578125" style="14"/>
    <col min="14337" max="14337" width="5.28515625" style="14" customWidth="1"/>
    <col min="14338" max="14339" width="10.42578125" style="14"/>
    <col min="14340" max="14340" width="8.5703125" style="14" customWidth="1"/>
    <col min="14341" max="14341" width="13.85546875" style="14" bestFit="1" customWidth="1"/>
    <col min="14342" max="14342" width="13" style="14" bestFit="1" customWidth="1"/>
    <col min="14343" max="14343" width="12" style="14" bestFit="1" customWidth="1"/>
    <col min="14344" max="14344" width="11.28515625" style="14" customWidth="1"/>
    <col min="14345" max="14345" width="13.85546875" style="14" bestFit="1" customWidth="1"/>
    <col min="14346" max="14346" width="15" style="14" customWidth="1"/>
    <col min="14347" max="14592" width="10.42578125" style="14"/>
    <col min="14593" max="14593" width="5.28515625" style="14" customWidth="1"/>
    <col min="14594" max="14595" width="10.42578125" style="14"/>
    <col min="14596" max="14596" width="8.5703125" style="14" customWidth="1"/>
    <col min="14597" max="14597" width="13.85546875" style="14" bestFit="1" customWidth="1"/>
    <col min="14598" max="14598" width="13" style="14" bestFit="1" customWidth="1"/>
    <col min="14599" max="14599" width="12" style="14" bestFit="1" customWidth="1"/>
    <col min="14600" max="14600" width="11.28515625" style="14" customWidth="1"/>
    <col min="14601" max="14601" width="13.85546875" style="14" bestFit="1" customWidth="1"/>
    <col min="14602" max="14602" width="15" style="14" customWidth="1"/>
    <col min="14603" max="14848" width="10.42578125" style="14"/>
    <col min="14849" max="14849" width="5.28515625" style="14" customWidth="1"/>
    <col min="14850" max="14851" width="10.42578125" style="14"/>
    <col min="14852" max="14852" width="8.5703125" style="14" customWidth="1"/>
    <col min="14853" max="14853" width="13.85546875" style="14" bestFit="1" customWidth="1"/>
    <col min="14854" max="14854" width="13" style="14" bestFit="1" customWidth="1"/>
    <col min="14855" max="14855" width="12" style="14" bestFit="1" customWidth="1"/>
    <col min="14856" max="14856" width="11.28515625" style="14" customWidth="1"/>
    <col min="14857" max="14857" width="13.85546875" style="14" bestFit="1" customWidth="1"/>
    <col min="14858" max="14858" width="15" style="14" customWidth="1"/>
    <col min="14859" max="15104" width="10.42578125" style="14"/>
    <col min="15105" max="15105" width="5.28515625" style="14" customWidth="1"/>
    <col min="15106" max="15107" width="10.42578125" style="14"/>
    <col min="15108" max="15108" width="8.5703125" style="14" customWidth="1"/>
    <col min="15109" max="15109" width="13.85546875" style="14" bestFit="1" customWidth="1"/>
    <col min="15110" max="15110" width="13" style="14" bestFit="1" customWidth="1"/>
    <col min="15111" max="15111" width="12" style="14" bestFit="1" customWidth="1"/>
    <col min="15112" max="15112" width="11.28515625" style="14" customWidth="1"/>
    <col min="15113" max="15113" width="13.85546875" style="14" bestFit="1" customWidth="1"/>
    <col min="15114" max="15114" width="15" style="14" customWidth="1"/>
    <col min="15115" max="15360" width="10.42578125" style="14"/>
    <col min="15361" max="15361" width="5.28515625" style="14" customWidth="1"/>
    <col min="15362" max="15363" width="10.42578125" style="14"/>
    <col min="15364" max="15364" width="8.5703125" style="14" customWidth="1"/>
    <col min="15365" max="15365" width="13.85546875" style="14" bestFit="1" customWidth="1"/>
    <col min="15366" max="15366" width="13" style="14" bestFit="1" customWidth="1"/>
    <col min="15367" max="15367" width="12" style="14" bestFit="1" customWidth="1"/>
    <col min="15368" max="15368" width="11.28515625" style="14" customWidth="1"/>
    <col min="15369" max="15369" width="13.85546875" style="14" bestFit="1" customWidth="1"/>
    <col min="15370" max="15370" width="15" style="14" customWidth="1"/>
    <col min="15371" max="15616" width="10.42578125" style="14"/>
    <col min="15617" max="15617" width="5.28515625" style="14" customWidth="1"/>
    <col min="15618" max="15619" width="10.42578125" style="14"/>
    <col min="15620" max="15620" width="8.5703125" style="14" customWidth="1"/>
    <col min="15621" max="15621" width="13.85546875" style="14" bestFit="1" customWidth="1"/>
    <col min="15622" max="15622" width="13" style="14" bestFit="1" customWidth="1"/>
    <col min="15623" max="15623" width="12" style="14" bestFit="1" customWidth="1"/>
    <col min="15624" max="15624" width="11.28515625" style="14" customWidth="1"/>
    <col min="15625" max="15625" width="13.85546875" style="14" bestFit="1" customWidth="1"/>
    <col min="15626" max="15626" width="15" style="14" customWidth="1"/>
    <col min="15627" max="15872" width="10.42578125" style="14"/>
    <col min="15873" max="15873" width="5.28515625" style="14" customWidth="1"/>
    <col min="15874" max="15875" width="10.42578125" style="14"/>
    <col min="15876" max="15876" width="8.5703125" style="14" customWidth="1"/>
    <col min="15877" max="15877" width="13.85546875" style="14" bestFit="1" customWidth="1"/>
    <col min="15878" max="15878" width="13" style="14" bestFit="1" customWidth="1"/>
    <col min="15879" max="15879" width="12" style="14" bestFit="1" customWidth="1"/>
    <col min="15880" max="15880" width="11.28515625" style="14" customWidth="1"/>
    <col min="15881" max="15881" width="13.85546875" style="14" bestFit="1" customWidth="1"/>
    <col min="15882" max="15882" width="15" style="14" customWidth="1"/>
    <col min="15883" max="16128" width="10.42578125" style="14"/>
    <col min="16129" max="16129" width="5.28515625" style="14" customWidth="1"/>
    <col min="16130" max="16131" width="10.42578125" style="14"/>
    <col min="16132" max="16132" width="8.5703125" style="14" customWidth="1"/>
    <col min="16133" max="16133" width="13.85546875" style="14" bestFit="1" customWidth="1"/>
    <col min="16134" max="16134" width="13" style="14" bestFit="1" customWidth="1"/>
    <col min="16135" max="16135" width="12" style="14" bestFit="1" customWidth="1"/>
    <col min="16136" max="16136" width="11.28515625" style="14" customWidth="1"/>
    <col min="16137" max="16137" width="13.85546875" style="14" bestFit="1" customWidth="1"/>
    <col min="16138" max="16138" width="15" style="14" customWidth="1"/>
    <col min="16139" max="16384" width="10.42578125" style="14"/>
  </cols>
  <sheetData>
    <row r="1" spans="1:10" ht="15.75" x14ac:dyDescent="0.25">
      <c r="A1" s="97" t="str">
        <f>Scrap_Sale!A1</f>
        <v>XXXXXXXX  Depot</v>
      </c>
      <c r="B1" s="97"/>
      <c r="C1" s="97"/>
      <c r="D1" s="97"/>
      <c r="E1" s="97"/>
      <c r="F1" s="97"/>
      <c r="G1" s="97"/>
      <c r="H1" s="97"/>
      <c r="I1" s="97"/>
      <c r="J1" s="97"/>
    </row>
    <row r="2" spans="1:10" ht="15.75" x14ac:dyDescent="0.25">
      <c r="A2" s="97" t="s">
        <v>8</v>
      </c>
      <c r="B2" s="97"/>
      <c r="C2" s="97"/>
      <c r="D2" s="97"/>
      <c r="E2" s="97"/>
      <c r="F2" s="97"/>
      <c r="G2" s="97"/>
      <c r="H2" s="97"/>
      <c r="I2" s="97"/>
      <c r="J2" s="97"/>
    </row>
    <row r="3" spans="1:10" x14ac:dyDescent="0.25">
      <c r="A3" s="98" t="str">
        <f ca="1">Scrap_Sale!A3</f>
        <v>From Jan-25 to Dec-25</v>
      </c>
      <c r="B3" s="98"/>
      <c r="C3" s="98"/>
      <c r="D3" s="98"/>
      <c r="E3" s="98"/>
      <c r="F3" s="98"/>
      <c r="G3" s="98"/>
      <c r="H3" s="98"/>
      <c r="I3" s="98"/>
      <c r="J3" s="98"/>
    </row>
    <row r="4" spans="1:10" ht="15" x14ac:dyDescent="0.25">
      <c r="A4" s="15"/>
    </row>
    <row r="5" spans="1:10" s="16" customFormat="1" ht="14.25" customHeight="1" x14ac:dyDescent="0.25">
      <c r="A5" s="78"/>
      <c r="B5" s="104" t="s">
        <v>7</v>
      </c>
      <c r="C5" s="104"/>
      <c r="D5" s="104"/>
      <c r="E5" s="104" t="s">
        <v>48</v>
      </c>
      <c r="F5" s="104"/>
      <c r="G5" s="104"/>
      <c r="H5" s="104"/>
      <c r="I5" s="79"/>
      <c r="J5" s="79" t="s">
        <v>0</v>
      </c>
    </row>
    <row r="6" spans="1:10" s="16" customFormat="1" ht="15" x14ac:dyDescent="0.25">
      <c r="A6" s="50" t="s">
        <v>1</v>
      </c>
      <c r="B6" s="80" t="s">
        <v>34</v>
      </c>
      <c r="C6" s="51" t="s">
        <v>2</v>
      </c>
      <c r="D6" s="80" t="s">
        <v>5</v>
      </c>
      <c r="E6" s="52" t="s">
        <v>50</v>
      </c>
      <c r="F6" s="52" t="s">
        <v>39</v>
      </c>
      <c r="G6" s="52" t="s">
        <v>40</v>
      </c>
      <c r="H6" s="52" t="s">
        <v>41</v>
      </c>
      <c r="I6" s="81" t="s">
        <v>4</v>
      </c>
      <c r="J6" s="53" t="s">
        <v>3</v>
      </c>
    </row>
    <row r="7" spans="1:10" x14ac:dyDescent="0.25">
      <c r="A7" s="54">
        <f>IF(Scrap_Sale!A5="","",Scrap_Sale!A5)</f>
        <v>45658</v>
      </c>
      <c r="B7" s="47"/>
      <c r="C7" s="48">
        <f>IFERROR(Table1[[#This Row],[Total Taka]]/Table1[[#This Row],[PCS]],0)</f>
        <v>0</v>
      </c>
      <c r="D7" s="47"/>
      <c r="E7" s="47"/>
      <c r="F7" s="47"/>
      <c r="G7" s="47"/>
      <c r="H7" s="47"/>
      <c r="I7" s="49">
        <f>SUM(Table1[[#This Row],[FG (Human)]:[Sample (vet)]])</f>
        <v>0</v>
      </c>
      <c r="J7" s="55">
        <f>IFERROR(Table1[[#This Row],[Total Taka]]/Table1[[#This Row],[Total Invoice]],0)</f>
        <v>0</v>
      </c>
    </row>
    <row r="8" spans="1:10" x14ac:dyDescent="0.25">
      <c r="A8" s="54">
        <f>IF(Scrap_Sale!A6="","",Scrap_Sale!A6)</f>
        <v>45689</v>
      </c>
      <c r="B8" s="47"/>
      <c r="C8" s="48">
        <f>IFERROR(Table1[[#This Row],[Total Taka]]/Table1[[#This Row],[PCS]],0)</f>
        <v>0</v>
      </c>
      <c r="D8" s="47"/>
      <c r="E8" s="47"/>
      <c r="F8" s="47"/>
      <c r="G8" s="47"/>
      <c r="H8" s="47"/>
      <c r="I8" s="49">
        <f>SUM(Table1[[#This Row],[FG (Human)]:[Sample (vet)]])</f>
        <v>0</v>
      </c>
      <c r="J8" s="55">
        <f>IFERROR(Table1[[#This Row],[Total Taka]]/Table1[[#This Row],[Total Invoice]],0)</f>
        <v>0</v>
      </c>
    </row>
    <row r="9" spans="1:10" x14ac:dyDescent="0.25">
      <c r="A9" s="54">
        <f>IF(Scrap_Sale!A7="","",Scrap_Sale!A7)</f>
        <v>45717</v>
      </c>
      <c r="B9" s="47"/>
      <c r="C9" s="48">
        <f>IFERROR(Table1[[#This Row],[Total Taka]]/Table1[[#This Row],[PCS]],0)</f>
        <v>0</v>
      </c>
      <c r="D9" s="47"/>
      <c r="E9" s="47"/>
      <c r="F9" s="47"/>
      <c r="G9" s="47"/>
      <c r="H9" s="47"/>
      <c r="I9" s="49">
        <f>SUM(Table1[[#This Row],[FG (Human)]:[Sample (vet)]])</f>
        <v>0</v>
      </c>
      <c r="J9" s="55">
        <f>IFERROR(Table1[[#This Row],[Total Taka]]/Table1[[#This Row],[Total Invoice]],0)</f>
        <v>0</v>
      </c>
    </row>
    <row r="10" spans="1:10" x14ac:dyDescent="0.25">
      <c r="A10" s="54">
        <f>IF(Scrap_Sale!A8="","",Scrap_Sale!A8)</f>
        <v>45748</v>
      </c>
      <c r="B10" s="47"/>
      <c r="C10" s="48">
        <f>IFERROR(Table1[[#This Row],[Total Taka]]/Table1[[#This Row],[PCS]],0)</f>
        <v>0</v>
      </c>
      <c r="D10" s="47"/>
      <c r="E10" s="47"/>
      <c r="F10" s="47"/>
      <c r="G10" s="47"/>
      <c r="H10" s="47"/>
      <c r="I10" s="49">
        <f>SUM(Table1[[#This Row],[FG (Human)]:[Sample (vet)]])</f>
        <v>0</v>
      </c>
      <c r="J10" s="55">
        <f>IFERROR(Table1[[#This Row],[Total Taka]]/Table1[[#This Row],[Total Invoice]],0)</f>
        <v>0</v>
      </c>
    </row>
    <row r="11" spans="1:10" x14ac:dyDescent="0.25">
      <c r="A11" s="54">
        <f>IF(Scrap_Sale!A9="","",Scrap_Sale!A9)</f>
        <v>45778</v>
      </c>
      <c r="B11" s="47"/>
      <c r="C11" s="48">
        <f>IFERROR(Table1[[#This Row],[Total Taka]]/Table1[[#This Row],[PCS]],0)</f>
        <v>0</v>
      </c>
      <c r="D11" s="47"/>
      <c r="E11" s="47"/>
      <c r="F11" s="47"/>
      <c r="G11" s="47"/>
      <c r="H11" s="47"/>
      <c r="I11" s="49">
        <f>SUM(Table1[[#This Row],[FG (Human)]:[Sample (vet)]])</f>
        <v>0</v>
      </c>
      <c r="J11" s="55">
        <f>IFERROR(Table1[[#This Row],[Total Taka]]/Table1[[#This Row],[Total Invoice]],0)</f>
        <v>0</v>
      </c>
    </row>
    <row r="12" spans="1:10" x14ac:dyDescent="0.25">
      <c r="A12" s="54">
        <f>IF(Scrap_Sale!A10="","",Scrap_Sale!A10)</f>
        <v>45809</v>
      </c>
      <c r="B12" s="47"/>
      <c r="C12" s="48">
        <f>IFERROR(Table1[[#This Row],[Total Taka]]/Table1[[#This Row],[PCS]],0)</f>
        <v>0</v>
      </c>
      <c r="D12" s="47"/>
      <c r="E12" s="47"/>
      <c r="F12" s="47"/>
      <c r="G12" s="47"/>
      <c r="H12" s="47"/>
      <c r="I12" s="49">
        <f>SUM(Table1[[#This Row],[FG (Human)]:[Sample (vet)]])</f>
        <v>0</v>
      </c>
      <c r="J12" s="55">
        <f>IFERROR(Table1[[#This Row],[Total Taka]]/Table1[[#This Row],[Total Invoice]],0)</f>
        <v>0</v>
      </c>
    </row>
    <row r="13" spans="1:10" x14ac:dyDescent="0.25">
      <c r="A13" s="54">
        <f>IF(Scrap_Sale!A11="","",Scrap_Sale!A11)</f>
        <v>45839</v>
      </c>
      <c r="B13" s="47"/>
      <c r="C13" s="48">
        <f>IFERROR(Table1[[#This Row],[Total Taka]]/Table1[[#This Row],[PCS]],0)</f>
        <v>0</v>
      </c>
      <c r="D13" s="47"/>
      <c r="E13" s="47"/>
      <c r="F13" s="47"/>
      <c r="G13" s="47"/>
      <c r="H13" s="47"/>
      <c r="I13" s="49">
        <f>SUM(Table1[[#This Row],[FG (Human)]:[Sample (vet)]])</f>
        <v>0</v>
      </c>
      <c r="J13" s="55">
        <f>IFERROR(Table1[[#This Row],[Total Taka]]/Table1[[#This Row],[Total Invoice]],0)</f>
        <v>0</v>
      </c>
    </row>
    <row r="14" spans="1:10" x14ac:dyDescent="0.25">
      <c r="A14" s="54">
        <f>IF(Scrap_Sale!A12="","",Scrap_Sale!A12)</f>
        <v>45870</v>
      </c>
      <c r="B14" s="47"/>
      <c r="C14" s="48">
        <f>IFERROR(Table1[[#This Row],[Total Taka]]/Table1[[#This Row],[PCS]],0)</f>
        <v>0</v>
      </c>
      <c r="D14" s="47"/>
      <c r="E14" s="47"/>
      <c r="F14" s="47"/>
      <c r="G14" s="47"/>
      <c r="H14" s="47"/>
      <c r="I14" s="49">
        <f>SUM(Table1[[#This Row],[FG (Human)]:[Sample (vet)]])</f>
        <v>0</v>
      </c>
      <c r="J14" s="55">
        <f>IFERROR(Table1[[#This Row],[Total Taka]]/Table1[[#This Row],[Total Invoice]],0)</f>
        <v>0</v>
      </c>
    </row>
    <row r="15" spans="1:10" x14ac:dyDescent="0.25">
      <c r="A15" s="54">
        <f>IF(Scrap_Sale!A13="","",Scrap_Sale!A13)</f>
        <v>45901</v>
      </c>
      <c r="B15" s="47"/>
      <c r="C15" s="48">
        <f>IFERROR(Table1[[#This Row],[Total Taka]]/Table1[[#This Row],[PCS]],0)</f>
        <v>0</v>
      </c>
      <c r="D15" s="47"/>
      <c r="E15" s="47"/>
      <c r="F15" s="47"/>
      <c r="G15" s="47"/>
      <c r="H15" s="47"/>
      <c r="I15" s="49">
        <f>SUM(Table1[[#This Row],[FG (Human)]:[Sample (vet)]])</f>
        <v>0</v>
      </c>
      <c r="J15" s="55">
        <f>IFERROR(Table1[[#This Row],[Total Taka]]/Table1[[#This Row],[Total Invoice]],0)</f>
        <v>0</v>
      </c>
    </row>
    <row r="16" spans="1:10" x14ac:dyDescent="0.25">
      <c r="A16" s="54">
        <f>IF(Scrap_Sale!A14="","",Scrap_Sale!A14)</f>
        <v>45931</v>
      </c>
      <c r="B16" s="47"/>
      <c r="C16" s="48">
        <f>IFERROR(Table1[[#This Row],[Total Taka]]/Table1[[#This Row],[PCS]],0)</f>
        <v>0</v>
      </c>
      <c r="D16" s="47"/>
      <c r="E16" s="47"/>
      <c r="F16" s="47"/>
      <c r="G16" s="47"/>
      <c r="H16" s="47"/>
      <c r="I16" s="49">
        <f>SUM(Table1[[#This Row],[FG (Human)]:[Sample (vet)]])</f>
        <v>0</v>
      </c>
      <c r="J16" s="55">
        <f>IFERROR(Table1[[#This Row],[Total Taka]]/Table1[[#This Row],[Total Invoice]],0)</f>
        <v>0</v>
      </c>
    </row>
    <row r="17" spans="1:10" x14ac:dyDescent="0.25">
      <c r="A17" s="54">
        <f>IF(Scrap_Sale!A15="","",Scrap_Sale!A15)</f>
        <v>45962</v>
      </c>
      <c r="B17" s="47"/>
      <c r="C17" s="48">
        <f>IFERROR(Table1[[#This Row],[Total Taka]]/Table1[[#This Row],[PCS]],0)</f>
        <v>0</v>
      </c>
      <c r="D17" s="47"/>
      <c r="E17" s="47"/>
      <c r="F17" s="47"/>
      <c r="G17" s="47"/>
      <c r="H17" s="47"/>
      <c r="I17" s="49">
        <f>SUM(Table1[[#This Row],[FG (Human)]:[Sample (vet)]])</f>
        <v>0</v>
      </c>
      <c r="J17" s="55">
        <f>IFERROR(Table1[[#This Row],[Total Taka]]/Table1[[#This Row],[Total Invoice]],0)</f>
        <v>0</v>
      </c>
    </row>
    <row r="18" spans="1:10" x14ac:dyDescent="0.25">
      <c r="A18" s="54">
        <f>IF(Scrap_Sale!A16="","",Scrap_Sale!A16)</f>
        <v>45992</v>
      </c>
      <c r="B18" s="47"/>
      <c r="C18" s="48">
        <f>IFERROR(Table1[[#This Row],[Total Taka]]/Table1[[#This Row],[PCS]],0)</f>
        <v>0</v>
      </c>
      <c r="D18" s="47"/>
      <c r="E18" s="47"/>
      <c r="F18" s="47"/>
      <c r="G18" s="47"/>
      <c r="H18" s="47"/>
      <c r="I18" s="49">
        <f>SUM(Table1[[#This Row],[FG (Human)]:[Sample (vet)]])</f>
        <v>0</v>
      </c>
      <c r="J18" s="55">
        <f>IFERROR(Table1[[#This Row],[Total Taka]]/Table1[[#This Row],[Total Invoice]],0)</f>
        <v>0</v>
      </c>
    </row>
    <row r="19" spans="1:10" ht="22.5" customHeight="1" x14ac:dyDescent="0.25">
      <c r="A19" s="56" t="s">
        <v>6</v>
      </c>
      <c r="B19" s="37">
        <f>SUM(B7:B18)</f>
        <v>0</v>
      </c>
      <c r="C19" s="57">
        <f>IFERROR(Table1[[#This Row],[Total Taka]]/Table1[[#This Row],[PCS]],0)</f>
        <v>0</v>
      </c>
      <c r="D19" s="38">
        <f t="shared" ref="D19:I19" si="0">SUM(D7:D18)</f>
        <v>0</v>
      </c>
      <c r="E19" s="37">
        <f t="shared" si="0"/>
        <v>0</v>
      </c>
      <c r="F19" s="37">
        <f t="shared" si="0"/>
        <v>0</v>
      </c>
      <c r="G19" s="37"/>
      <c r="H19" s="37">
        <f t="shared" si="0"/>
        <v>0</v>
      </c>
      <c r="I19" s="37">
        <f t="shared" si="0"/>
        <v>0</v>
      </c>
      <c r="J19" s="58">
        <f>IFERROR(Table1[[#This Row],[Total Taka]]/Table1[[#This Row],[Total Invoice]],0)</f>
        <v>0</v>
      </c>
    </row>
    <row r="20" spans="1:10" ht="12" customHeight="1" x14ac:dyDescent="0.2">
      <c r="A20" s="21" t="s">
        <v>35</v>
      </c>
      <c r="B20" s="105">
        <f>B19/COUNT(A7:A18)</f>
        <v>0</v>
      </c>
      <c r="C20" s="106"/>
      <c r="D20" s="106"/>
      <c r="E20" s="106"/>
      <c r="F20" s="106"/>
      <c r="G20" s="106"/>
      <c r="H20" s="106"/>
      <c r="I20" s="108" t="s">
        <v>51</v>
      </c>
      <c r="J20" s="109"/>
    </row>
    <row r="21" spans="1:10" x14ac:dyDescent="0.25">
      <c r="A21" s="18" t="str">
        <f>"Sajib"&amp;" "&amp;CHAR(169)</f>
        <v>Sajib ©</v>
      </c>
      <c r="B21" s="111" t="str">
        <f>"Average Carton consumption against per invoice except sample was Tk."&amp;TEXT(J19, "#,##,##0.00")&amp;" which was "&amp;IF(J19&lt;J20,"decreased than",IF(J19&gt;J20,"increased than","equal as"))&amp;" previous audit period. Last audit period per invoice cost was Tk."&amp;TEXT(J20, "#,##,##0.00")&amp;"."</f>
        <v>Average Carton consumption against per invoice except sample was Tk.0.00 which was equal as previous audit period. Last audit period per invoice cost was Tk.0.00.</v>
      </c>
      <c r="C21" s="111"/>
      <c r="D21" s="111"/>
      <c r="E21" s="111"/>
      <c r="F21" s="111"/>
      <c r="G21" s="111"/>
      <c r="H21" s="111"/>
      <c r="I21" s="111"/>
      <c r="J21" s="111"/>
    </row>
    <row r="22" spans="1:10" x14ac:dyDescent="0.25">
      <c r="A22" s="111" t="str">
        <f>B21&amp;"It is to be noted that, we could not calculate month to month average Carton consumption rate per invoice due to lack of proper recording of monthly Carton consumption."</f>
        <v>Average Carton consumption against per invoice except sample was Tk.0.00 which was equal as previous audit period. Last audit period per invoice cost was Tk.0.00.It is to be noted that, we could not calculate month to month average Carton consumption rate per invoice due to lack of proper recording of monthly Carton consumption.</v>
      </c>
      <c r="B22" s="111"/>
      <c r="C22" s="111"/>
      <c r="D22" s="111"/>
      <c r="E22" s="111"/>
      <c r="F22" s="111"/>
      <c r="G22" s="111"/>
      <c r="H22" s="111"/>
      <c r="I22" s="111"/>
      <c r="J22" s="111"/>
    </row>
    <row r="23" spans="1:10" x14ac:dyDescent="0.25">
      <c r="A23" s="110"/>
      <c r="B23" s="110"/>
      <c r="C23" s="110"/>
      <c r="D23" s="110"/>
      <c r="E23" s="110"/>
      <c r="F23" s="110"/>
      <c r="G23" s="110"/>
      <c r="H23" s="110"/>
      <c r="I23" s="110"/>
      <c r="J23" s="110"/>
    </row>
    <row r="24" spans="1:10" x14ac:dyDescent="0.25">
      <c r="A24" s="4"/>
      <c r="C24" s="106"/>
      <c r="D24" s="106"/>
      <c r="E24" s="106"/>
      <c r="F24" s="106"/>
      <c r="G24" s="106"/>
      <c r="H24" s="106"/>
      <c r="I24" s="106"/>
      <c r="J24" s="107"/>
    </row>
  </sheetData>
  <mergeCells count="7">
    <mergeCell ref="B21:J21"/>
    <mergeCell ref="A22:J22"/>
    <mergeCell ref="A1:J1"/>
    <mergeCell ref="A2:J2"/>
    <mergeCell ref="A3:J3"/>
    <mergeCell ref="B5:D5"/>
    <mergeCell ref="E5:H5"/>
  </mergeCells>
  <pageMargins left="1.2" right="1" top="1" bottom="1" header="0" footer="0"/>
  <pageSetup paperSize="9" orientation="landscape" verticalDpi="1200" r:id="rId1"/>
  <legacy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83C08-114C-4ED7-8EBA-259619C4628A}">
  <sheetPr>
    <tabColor rgb="FFFFFF00"/>
  </sheetPr>
  <dimension ref="A1:A3"/>
  <sheetViews>
    <sheetView workbookViewId="0">
      <selection activeCell="G14" sqref="G14"/>
    </sheetView>
  </sheetViews>
  <sheetFormatPr defaultRowHeight="12.75" x14ac:dyDescent="0.2"/>
  <cols>
    <col min="1" max="1" width="20.42578125" style="113" customWidth="1"/>
    <col min="2" max="16384" width="9.140625" style="113"/>
  </cols>
  <sheetData>
    <row r="1" spans="1:1" x14ac:dyDescent="0.2">
      <c r="A1" s="114" t="s">
        <v>59</v>
      </c>
    </row>
    <row r="2" spans="1:1" x14ac:dyDescent="0.2">
      <c r="A2" s="114" t="str">
        <f>Carton!A22</f>
        <v>Average Carton consumption against per invoice except sample was Tk.0.00 which was equal as previous audit period. Last audit period per invoice cost was Tk.0.00.It is to be noted that, we could not calculate month to month average Carton consumption rate per invoice due to lack of proper recording of monthly Carton consumption.</v>
      </c>
    </row>
    <row r="3" spans="1:1" x14ac:dyDescent="0.2">
      <c r="A3" s="114" t="str">
        <f>P_Rope!A22</f>
        <v>Average Plastic Rope consumption against per invoice except sample was Tk.0.00 which was decreased than previous audit period. Last audit period per invoice cost was Tk.2.00.It is to be noted that, we could not calculate month to month average Plastic Rope consumption rate per invoice due to lack of proper recording of monthly Plastic Rope  consumption.</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330D1-E441-47D0-88B6-55E5A0D5124E}">
  <sheetPr>
    <tabColor rgb="FFFFFF00"/>
  </sheetPr>
  <dimension ref="A1:J24"/>
  <sheetViews>
    <sheetView view="pageBreakPreview" topLeftCell="A13" zoomScale="110" zoomScaleNormal="100" zoomScaleSheetLayoutView="110" workbookViewId="0">
      <selection activeCell="A22" sqref="A22:J22"/>
    </sheetView>
  </sheetViews>
  <sheetFormatPr defaultColWidth="10.42578125" defaultRowHeight="14.25" x14ac:dyDescent="0.25"/>
  <cols>
    <col min="1" max="2" width="10.42578125" style="14"/>
    <col min="3" max="3" width="8.5703125" style="14" customWidth="1"/>
    <col min="4" max="4" width="15" style="14" customWidth="1"/>
    <col min="5" max="6" width="16.42578125" style="14" customWidth="1"/>
    <col min="7" max="7" width="13.42578125" style="14" hidden="1" customWidth="1"/>
    <col min="8" max="8" width="13.7109375" style="14" hidden="1" customWidth="1"/>
    <col min="9" max="9" width="16.42578125" style="14" customWidth="1"/>
    <col min="10" max="10" width="18.28515625" style="16" customWidth="1"/>
    <col min="11" max="256" width="10.42578125" style="14"/>
    <col min="257" max="257" width="5.28515625" style="14" customWidth="1"/>
    <col min="258" max="259" width="10.42578125" style="14"/>
    <col min="260" max="260" width="8.5703125" style="14" customWidth="1"/>
    <col min="261" max="261" width="13.85546875" style="14" bestFit="1" customWidth="1"/>
    <col min="262" max="262" width="13" style="14" bestFit="1" customWidth="1"/>
    <col min="263" max="263" width="12" style="14" bestFit="1" customWidth="1"/>
    <col min="264" max="264" width="11.28515625" style="14" customWidth="1"/>
    <col min="265" max="265" width="13.85546875" style="14" bestFit="1" customWidth="1"/>
    <col min="266" max="266" width="15" style="14" customWidth="1"/>
    <col min="267" max="512" width="10.42578125" style="14"/>
    <col min="513" max="513" width="5.28515625" style="14" customWidth="1"/>
    <col min="514" max="515" width="10.42578125" style="14"/>
    <col min="516" max="516" width="8.5703125" style="14" customWidth="1"/>
    <col min="517" max="517" width="13.85546875" style="14" bestFit="1" customWidth="1"/>
    <col min="518" max="518" width="13" style="14" bestFit="1" customWidth="1"/>
    <col min="519" max="519" width="12" style="14" bestFit="1" customWidth="1"/>
    <col min="520" max="520" width="11.28515625" style="14" customWidth="1"/>
    <col min="521" max="521" width="13.85546875" style="14" bestFit="1" customWidth="1"/>
    <col min="522" max="522" width="15" style="14" customWidth="1"/>
    <col min="523" max="768" width="10.42578125" style="14"/>
    <col min="769" max="769" width="5.28515625" style="14" customWidth="1"/>
    <col min="770" max="771" width="10.42578125" style="14"/>
    <col min="772" max="772" width="8.5703125" style="14" customWidth="1"/>
    <col min="773" max="773" width="13.85546875" style="14" bestFit="1" customWidth="1"/>
    <col min="774" max="774" width="13" style="14" bestFit="1" customWidth="1"/>
    <col min="775" max="775" width="12" style="14" bestFit="1" customWidth="1"/>
    <col min="776" max="776" width="11.28515625" style="14" customWidth="1"/>
    <col min="777" max="777" width="13.85546875" style="14" bestFit="1" customWidth="1"/>
    <col min="778" max="778" width="15" style="14" customWidth="1"/>
    <col min="779" max="1024" width="10.42578125" style="14"/>
    <col min="1025" max="1025" width="5.28515625" style="14" customWidth="1"/>
    <col min="1026" max="1027" width="10.42578125" style="14"/>
    <col min="1028" max="1028" width="8.5703125" style="14" customWidth="1"/>
    <col min="1029" max="1029" width="13.85546875" style="14" bestFit="1" customWidth="1"/>
    <col min="1030" max="1030" width="13" style="14" bestFit="1" customWidth="1"/>
    <col min="1031" max="1031" width="12" style="14" bestFit="1" customWidth="1"/>
    <col min="1032" max="1032" width="11.28515625" style="14" customWidth="1"/>
    <col min="1033" max="1033" width="13.85546875" style="14" bestFit="1" customWidth="1"/>
    <col min="1034" max="1034" width="15" style="14" customWidth="1"/>
    <col min="1035" max="1280" width="10.42578125" style="14"/>
    <col min="1281" max="1281" width="5.28515625" style="14" customWidth="1"/>
    <col min="1282" max="1283" width="10.42578125" style="14"/>
    <col min="1284" max="1284" width="8.5703125" style="14" customWidth="1"/>
    <col min="1285" max="1285" width="13.85546875" style="14" bestFit="1" customWidth="1"/>
    <col min="1286" max="1286" width="13" style="14" bestFit="1" customWidth="1"/>
    <col min="1287" max="1287" width="12" style="14" bestFit="1" customWidth="1"/>
    <col min="1288" max="1288" width="11.28515625" style="14" customWidth="1"/>
    <col min="1289" max="1289" width="13.85546875" style="14" bestFit="1" customWidth="1"/>
    <col min="1290" max="1290" width="15" style="14" customWidth="1"/>
    <col min="1291" max="1536" width="10.42578125" style="14"/>
    <col min="1537" max="1537" width="5.28515625" style="14" customWidth="1"/>
    <col min="1538" max="1539" width="10.42578125" style="14"/>
    <col min="1540" max="1540" width="8.5703125" style="14" customWidth="1"/>
    <col min="1541" max="1541" width="13.85546875" style="14" bestFit="1" customWidth="1"/>
    <col min="1542" max="1542" width="13" style="14" bestFit="1" customWidth="1"/>
    <col min="1543" max="1543" width="12" style="14" bestFit="1" customWidth="1"/>
    <col min="1544" max="1544" width="11.28515625" style="14" customWidth="1"/>
    <col min="1545" max="1545" width="13.85546875" style="14" bestFit="1" customWidth="1"/>
    <col min="1546" max="1546" width="15" style="14" customWidth="1"/>
    <col min="1547" max="1792" width="10.42578125" style="14"/>
    <col min="1793" max="1793" width="5.28515625" style="14" customWidth="1"/>
    <col min="1794" max="1795" width="10.42578125" style="14"/>
    <col min="1796" max="1796" width="8.5703125" style="14" customWidth="1"/>
    <col min="1797" max="1797" width="13.85546875" style="14" bestFit="1" customWidth="1"/>
    <col min="1798" max="1798" width="13" style="14" bestFit="1" customWidth="1"/>
    <col min="1799" max="1799" width="12" style="14" bestFit="1" customWidth="1"/>
    <col min="1800" max="1800" width="11.28515625" style="14" customWidth="1"/>
    <col min="1801" max="1801" width="13.85546875" style="14" bestFit="1" customWidth="1"/>
    <col min="1802" max="1802" width="15" style="14" customWidth="1"/>
    <col min="1803" max="2048" width="10.42578125" style="14"/>
    <col min="2049" max="2049" width="5.28515625" style="14" customWidth="1"/>
    <col min="2050" max="2051" width="10.42578125" style="14"/>
    <col min="2052" max="2052" width="8.5703125" style="14" customWidth="1"/>
    <col min="2053" max="2053" width="13.85546875" style="14" bestFit="1" customWidth="1"/>
    <col min="2054" max="2054" width="13" style="14" bestFit="1" customWidth="1"/>
    <col min="2055" max="2055" width="12" style="14" bestFit="1" customWidth="1"/>
    <col min="2056" max="2056" width="11.28515625" style="14" customWidth="1"/>
    <col min="2057" max="2057" width="13.85546875" style="14" bestFit="1" customWidth="1"/>
    <col min="2058" max="2058" width="15" style="14" customWidth="1"/>
    <col min="2059" max="2304" width="10.42578125" style="14"/>
    <col min="2305" max="2305" width="5.28515625" style="14" customWidth="1"/>
    <col min="2306" max="2307" width="10.42578125" style="14"/>
    <col min="2308" max="2308" width="8.5703125" style="14" customWidth="1"/>
    <col min="2309" max="2309" width="13.85546875" style="14" bestFit="1" customWidth="1"/>
    <col min="2310" max="2310" width="13" style="14" bestFit="1" customWidth="1"/>
    <col min="2311" max="2311" width="12" style="14" bestFit="1" customWidth="1"/>
    <col min="2312" max="2312" width="11.28515625" style="14" customWidth="1"/>
    <col min="2313" max="2313" width="13.85546875" style="14" bestFit="1" customWidth="1"/>
    <col min="2314" max="2314" width="15" style="14" customWidth="1"/>
    <col min="2315" max="2560" width="10.42578125" style="14"/>
    <col min="2561" max="2561" width="5.28515625" style="14" customWidth="1"/>
    <col min="2562" max="2563" width="10.42578125" style="14"/>
    <col min="2564" max="2564" width="8.5703125" style="14" customWidth="1"/>
    <col min="2565" max="2565" width="13.85546875" style="14" bestFit="1" customWidth="1"/>
    <col min="2566" max="2566" width="13" style="14" bestFit="1" customWidth="1"/>
    <col min="2567" max="2567" width="12" style="14" bestFit="1" customWidth="1"/>
    <col min="2568" max="2568" width="11.28515625" style="14" customWidth="1"/>
    <col min="2569" max="2569" width="13.85546875" style="14" bestFit="1" customWidth="1"/>
    <col min="2570" max="2570" width="15" style="14" customWidth="1"/>
    <col min="2571" max="2816" width="10.42578125" style="14"/>
    <col min="2817" max="2817" width="5.28515625" style="14" customWidth="1"/>
    <col min="2818" max="2819" width="10.42578125" style="14"/>
    <col min="2820" max="2820" width="8.5703125" style="14" customWidth="1"/>
    <col min="2821" max="2821" width="13.85546875" style="14" bestFit="1" customWidth="1"/>
    <col min="2822" max="2822" width="13" style="14" bestFit="1" customWidth="1"/>
    <col min="2823" max="2823" width="12" style="14" bestFit="1" customWidth="1"/>
    <col min="2824" max="2824" width="11.28515625" style="14" customWidth="1"/>
    <col min="2825" max="2825" width="13.85546875" style="14" bestFit="1" customWidth="1"/>
    <col min="2826" max="2826" width="15" style="14" customWidth="1"/>
    <col min="2827" max="3072" width="10.42578125" style="14"/>
    <col min="3073" max="3073" width="5.28515625" style="14" customWidth="1"/>
    <col min="3074" max="3075" width="10.42578125" style="14"/>
    <col min="3076" max="3076" width="8.5703125" style="14" customWidth="1"/>
    <col min="3077" max="3077" width="13.85546875" style="14" bestFit="1" customWidth="1"/>
    <col min="3078" max="3078" width="13" style="14" bestFit="1" customWidth="1"/>
    <col min="3079" max="3079" width="12" style="14" bestFit="1" customWidth="1"/>
    <col min="3080" max="3080" width="11.28515625" style="14" customWidth="1"/>
    <col min="3081" max="3081" width="13.85546875" style="14" bestFit="1" customWidth="1"/>
    <col min="3082" max="3082" width="15" style="14" customWidth="1"/>
    <col min="3083" max="3328" width="10.42578125" style="14"/>
    <col min="3329" max="3329" width="5.28515625" style="14" customWidth="1"/>
    <col min="3330" max="3331" width="10.42578125" style="14"/>
    <col min="3332" max="3332" width="8.5703125" style="14" customWidth="1"/>
    <col min="3333" max="3333" width="13.85546875" style="14" bestFit="1" customWidth="1"/>
    <col min="3334" max="3334" width="13" style="14" bestFit="1" customWidth="1"/>
    <col min="3335" max="3335" width="12" style="14" bestFit="1" customWidth="1"/>
    <col min="3336" max="3336" width="11.28515625" style="14" customWidth="1"/>
    <col min="3337" max="3337" width="13.85546875" style="14" bestFit="1" customWidth="1"/>
    <col min="3338" max="3338" width="15" style="14" customWidth="1"/>
    <col min="3339" max="3584" width="10.42578125" style="14"/>
    <col min="3585" max="3585" width="5.28515625" style="14" customWidth="1"/>
    <col min="3586" max="3587" width="10.42578125" style="14"/>
    <col min="3588" max="3588" width="8.5703125" style="14" customWidth="1"/>
    <col min="3589" max="3589" width="13.85546875" style="14" bestFit="1" customWidth="1"/>
    <col min="3590" max="3590" width="13" style="14" bestFit="1" customWidth="1"/>
    <col min="3591" max="3591" width="12" style="14" bestFit="1" customWidth="1"/>
    <col min="3592" max="3592" width="11.28515625" style="14" customWidth="1"/>
    <col min="3593" max="3593" width="13.85546875" style="14" bestFit="1" customWidth="1"/>
    <col min="3594" max="3594" width="15" style="14" customWidth="1"/>
    <col min="3595" max="3840" width="10.42578125" style="14"/>
    <col min="3841" max="3841" width="5.28515625" style="14" customWidth="1"/>
    <col min="3842" max="3843" width="10.42578125" style="14"/>
    <col min="3844" max="3844" width="8.5703125" style="14" customWidth="1"/>
    <col min="3845" max="3845" width="13.85546875" style="14" bestFit="1" customWidth="1"/>
    <col min="3846" max="3846" width="13" style="14" bestFit="1" customWidth="1"/>
    <col min="3847" max="3847" width="12" style="14" bestFit="1" customWidth="1"/>
    <col min="3848" max="3848" width="11.28515625" style="14" customWidth="1"/>
    <col min="3849" max="3849" width="13.85546875" style="14" bestFit="1" customWidth="1"/>
    <col min="3850" max="3850" width="15" style="14" customWidth="1"/>
    <col min="3851" max="4096" width="10.42578125" style="14"/>
    <col min="4097" max="4097" width="5.28515625" style="14" customWidth="1"/>
    <col min="4098" max="4099" width="10.42578125" style="14"/>
    <col min="4100" max="4100" width="8.5703125" style="14" customWidth="1"/>
    <col min="4101" max="4101" width="13.85546875" style="14" bestFit="1" customWidth="1"/>
    <col min="4102" max="4102" width="13" style="14" bestFit="1" customWidth="1"/>
    <col min="4103" max="4103" width="12" style="14" bestFit="1" customWidth="1"/>
    <col min="4104" max="4104" width="11.28515625" style="14" customWidth="1"/>
    <col min="4105" max="4105" width="13.85546875" style="14" bestFit="1" customWidth="1"/>
    <col min="4106" max="4106" width="15" style="14" customWidth="1"/>
    <col min="4107" max="4352" width="10.42578125" style="14"/>
    <col min="4353" max="4353" width="5.28515625" style="14" customWidth="1"/>
    <col min="4354" max="4355" width="10.42578125" style="14"/>
    <col min="4356" max="4356" width="8.5703125" style="14" customWidth="1"/>
    <col min="4357" max="4357" width="13.85546875" style="14" bestFit="1" customWidth="1"/>
    <col min="4358" max="4358" width="13" style="14" bestFit="1" customWidth="1"/>
    <col min="4359" max="4359" width="12" style="14" bestFit="1" customWidth="1"/>
    <col min="4360" max="4360" width="11.28515625" style="14" customWidth="1"/>
    <col min="4361" max="4361" width="13.85546875" style="14" bestFit="1" customWidth="1"/>
    <col min="4362" max="4362" width="15" style="14" customWidth="1"/>
    <col min="4363" max="4608" width="10.42578125" style="14"/>
    <col min="4609" max="4609" width="5.28515625" style="14" customWidth="1"/>
    <col min="4610" max="4611" width="10.42578125" style="14"/>
    <col min="4612" max="4612" width="8.5703125" style="14" customWidth="1"/>
    <col min="4613" max="4613" width="13.85546875" style="14" bestFit="1" customWidth="1"/>
    <col min="4614" max="4614" width="13" style="14" bestFit="1" customWidth="1"/>
    <col min="4615" max="4615" width="12" style="14" bestFit="1" customWidth="1"/>
    <col min="4616" max="4616" width="11.28515625" style="14" customWidth="1"/>
    <col min="4617" max="4617" width="13.85546875" style="14" bestFit="1" customWidth="1"/>
    <col min="4618" max="4618" width="15" style="14" customWidth="1"/>
    <col min="4619" max="4864" width="10.42578125" style="14"/>
    <col min="4865" max="4865" width="5.28515625" style="14" customWidth="1"/>
    <col min="4866" max="4867" width="10.42578125" style="14"/>
    <col min="4868" max="4868" width="8.5703125" style="14" customWidth="1"/>
    <col min="4869" max="4869" width="13.85546875" style="14" bestFit="1" customWidth="1"/>
    <col min="4870" max="4870" width="13" style="14" bestFit="1" customWidth="1"/>
    <col min="4871" max="4871" width="12" style="14" bestFit="1" customWidth="1"/>
    <col min="4872" max="4872" width="11.28515625" style="14" customWidth="1"/>
    <col min="4873" max="4873" width="13.85546875" style="14" bestFit="1" customWidth="1"/>
    <col min="4874" max="4874" width="15" style="14" customWidth="1"/>
    <col min="4875" max="5120" width="10.42578125" style="14"/>
    <col min="5121" max="5121" width="5.28515625" style="14" customWidth="1"/>
    <col min="5122" max="5123" width="10.42578125" style="14"/>
    <col min="5124" max="5124" width="8.5703125" style="14" customWidth="1"/>
    <col min="5125" max="5125" width="13.85546875" style="14" bestFit="1" customWidth="1"/>
    <col min="5126" max="5126" width="13" style="14" bestFit="1" customWidth="1"/>
    <col min="5127" max="5127" width="12" style="14" bestFit="1" customWidth="1"/>
    <col min="5128" max="5128" width="11.28515625" style="14" customWidth="1"/>
    <col min="5129" max="5129" width="13.85546875" style="14" bestFit="1" customWidth="1"/>
    <col min="5130" max="5130" width="15" style="14" customWidth="1"/>
    <col min="5131" max="5376" width="10.42578125" style="14"/>
    <col min="5377" max="5377" width="5.28515625" style="14" customWidth="1"/>
    <col min="5378" max="5379" width="10.42578125" style="14"/>
    <col min="5380" max="5380" width="8.5703125" style="14" customWidth="1"/>
    <col min="5381" max="5381" width="13.85546875" style="14" bestFit="1" customWidth="1"/>
    <col min="5382" max="5382" width="13" style="14" bestFit="1" customWidth="1"/>
    <col min="5383" max="5383" width="12" style="14" bestFit="1" customWidth="1"/>
    <col min="5384" max="5384" width="11.28515625" style="14" customWidth="1"/>
    <col min="5385" max="5385" width="13.85546875" style="14" bestFit="1" customWidth="1"/>
    <col min="5386" max="5386" width="15" style="14" customWidth="1"/>
    <col min="5387" max="5632" width="10.42578125" style="14"/>
    <col min="5633" max="5633" width="5.28515625" style="14" customWidth="1"/>
    <col min="5634" max="5635" width="10.42578125" style="14"/>
    <col min="5636" max="5636" width="8.5703125" style="14" customWidth="1"/>
    <col min="5637" max="5637" width="13.85546875" style="14" bestFit="1" customWidth="1"/>
    <col min="5638" max="5638" width="13" style="14" bestFit="1" customWidth="1"/>
    <col min="5639" max="5639" width="12" style="14" bestFit="1" customWidth="1"/>
    <col min="5640" max="5640" width="11.28515625" style="14" customWidth="1"/>
    <col min="5641" max="5641" width="13.85546875" style="14" bestFit="1" customWidth="1"/>
    <col min="5642" max="5642" width="15" style="14" customWidth="1"/>
    <col min="5643" max="5888" width="10.42578125" style="14"/>
    <col min="5889" max="5889" width="5.28515625" style="14" customWidth="1"/>
    <col min="5890" max="5891" width="10.42578125" style="14"/>
    <col min="5892" max="5892" width="8.5703125" style="14" customWidth="1"/>
    <col min="5893" max="5893" width="13.85546875" style="14" bestFit="1" customWidth="1"/>
    <col min="5894" max="5894" width="13" style="14" bestFit="1" customWidth="1"/>
    <col min="5895" max="5895" width="12" style="14" bestFit="1" customWidth="1"/>
    <col min="5896" max="5896" width="11.28515625" style="14" customWidth="1"/>
    <col min="5897" max="5897" width="13.85546875" style="14" bestFit="1" customWidth="1"/>
    <col min="5898" max="5898" width="15" style="14" customWidth="1"/>
    <col min="5899" max="6144" width="10.42578125" style="14"/>
    <col min="6145" max="6145" width="5.28515625" style="14" customWidth="1"/>
    <col min="6146" max="6147" width="10.42578125" style="14"/>
    <col min="6148" max="6148" width="8.5703125" style="14" customWidth="1"/>
    <col min="6149" max="6149" width="13.85546875" style="14" bestFit="1" customWidth="1"/>
    <col min="6150" max="6150" width="13" style="14" bestFit="1" customWidth="1"/>
    <col min="6151" max="6151" width="12" style="14" bestFit="1" customWidth="1"/>
    <col min="6152" max="6152" width="11.28515625" style="14" customWidth="1"/>
    <col min="6153" max="6153" width="13.85546875" style="14" bestFit="1" customWidth="1"/>
    <col min="6154" max="6154" width="15" style="14" customWidth="1"/>
    <col min="6155" max="6400" width="10.42578125" style="14"/>
    <col min="6401" max="6401" width="5.28515625" style="14" customWidth="1"/>
    <col min="6402" max="6403" width="10.42578125" style="14"/>
    <col min="6404" max="6404" width="8.5703125" style="14" customWidth="1"/>
    <col min="6405" max="6405" width="13.85546875" style="14" bestFit="1" customWidth="1"/>
    <col min="6406" max="6406" width="13" style="14" bestFit="1" customWidth="1"/>
    <col min="6407" max="6407" width="12" style="14" bestFit="1" customWidth="1"/>
    <col min="6408" max="6408" width="11.28515625" style="14" customWidth="1"/>
    <col min="6409" max="6409" width="13.85546875" style="14" bestFit="1" customWidth="1"/>
    <col min="6410" max="6410" width="15" style="14" customWidth="1"/>
    <col min="6411" max="6656" width="10.42578125" style="14"/>
    <col min="6657" max="6657" width="5.28515625" style="14" customWidth="1"/>
    <col min="6658" max="6659" width="10.42578125" style="14"/>
    <col min="6660" max="6660" width="8.5703125" style="14" customWidth="1"/>
    <col min="6661" max="6661" width="13.85546875" style="14" bestFit="1" customWidth="1"/>
    <col min="6662" max="6662" width="13" style="14" bestFit="1" customWidth="1"/>
    <col min="6663" max="6663" width="12" style="14" bestFit="1" customWidth="1"/>
    <col min="6664" max="6664" width="11.28515625" style="14" customWidth="1"/>
    <col min="6665" max="6665" width="13.85546875" style="14" bestFit="1" customWidth="1"/>
    <col min="6666" max="6666" width="15" style="14" customWidth="1"/>
    <col min="6667" max="6912" width="10.42578125" style="14"/>
    <col min="6913" max="6913" width="5.28515625" style="14" customWidth="1"/>
    <col min="6914" max="6915" width="10.42578125" style="14"/>
    <col min="6916" max="6916" width="8.5703125" style="14" customWidth="1"/>
    <col min="6917" max="6917" width="13.85546875" style="14" bestFit="1" customWidth="1"/>
    <col min="6918" max="6918" width="13" style="14" bestFit="1" customWidth="1"/>
    <col min="6919" max="6919" width="12" style="14" bestFit="1" customWidth="1"/>
    <col min="6920" max="6920" width="11.28515625" style="14" customWidth="1"/>
    <col min="6921" max="6921" width="13.85546875" style="14" bestFit="1" customWidth="1"/>
    <col min="6922" max="6922" width="15" style="14" customWidth="1"/>
    <col min="6923" max="7168" width="10.42578125" style="14"/>
    <col min="7169" max="7169" width="5.28515625" style="14" customWidth="1"/>
    <col min="7170" max="7171" width="10.42578125" style="14"/>
    <col min="7172" max="7172" width="8.5703125" style="14" customWidth="1"/>
    <col min="7173" max="7173" width="13.85546875" style="14" bestFit="1" customWidth="1"/>
    <col min="7174" max="7174" width="13" style="14" bestFit="1" customWidth="1"/>
    <col min="7175" max="7175" width="12" style="14" bestFit="1" customWidth="1"/>
    <col min="7176" max="7176" width="11.28515625" style="14" customWidth="1"/>
    <col min="7177" max="7177" width="13.85546875" style="14" bestFit="1" customWidth="1"/>
    <col min="7178" max="7178" width="15" style="14" customWidth="1"/>
    <col min="7179" max="7424" width="10.42578125" style="14"/>
    <col min="7425" max="7425" width="5.28515625" style="14" customWidth="1"/>
    <col min="7426" max="7427" width="10.42578125" style="14"/>
    <col min="7428" max="7428" width="8.5703125" style="14" customWidth="1"/>
    <col min="7429" max="7429" width="13.85546875" style="14" bestFit="1" customWidth="1"/>
    <col min="7430" max="7430" width="13" style="14" bestFit="1" customWidth="1"/>
    <col min="7431" max="7431" width="12" style="14" bestFit="1" customWidth="1"/>
    <col min="7432" max="7432" width="11.28515625" style="14" customWidth="1"/>
    <col min="7433" max="7433" width="13.85546875" style="14" bestFit="1" customWidth="1"/>
    <col min="7434" max="7434" width="15" style="14" customWidth="1"/>
    <col min="7435" max="7680" width="10.42578125" style="14"/>
    <col min="7681" max="7681" width="5.28515625" style="14" customWidth="1"/>
    <col min="7682" max="7683" width="10.42578125" style="14"/>
    <col min="7684" max="7684" width="8.5703125" style="14" customWidth="1"/>
    <col min="7685" max="7685" width="13.85546875" style="14" bestFit="1" customWidth="1"/>
    <col min="7686" max="7686" width="13" style="14" bestFit="1" customWidth="1"/>
    <col min="7687" max="7687" width="12" style="14" bestFit="1" customWidth="1"/>
    <col min="7688" max="7688" width="11.28515625" style="14" customWidth="1"/>
    <col min="7689" max="7689" width="13.85546875" style="14" bestFit="1" customWidth="1"/>
    <col min="7690" max="7690" width="15" style="14" customWidth="1"/>
    <col min="7691" max="7936" width="10.42578125" style="14"/>
    <col min="7937" max="7937" width="5.28515625" style="14" customWidth="1"/>
    <col min="7938" max="7939" width="10.42578125" style="14"/>
    <col min="7940" max="7940" width="8.5703125" style="14" customWidth="1"/>
    <col min="7941" max="7941" width="13.85546875" style="14" bestFit="1" customWidth="1"/>
    <col min="7942" max="7942" width="13" style="14" bestFit="1" customWidth="1"/>
    <col min="7943" max="7943" width="12" style="14" bestFit="1" customWidth="1"/>
    <col min="7944" max="7944" width="11.28515625" style="14" customWidth="1"/>
    <col min="7945" max="7945" width="13.85546875" style="14" bestFit="1" customWidth="1"/>
    <col min="7946" max="7946" width="15" style="14" customWidth="1"/>
    <col min="7947" max="8192" width="10.42578125" style="14"/>
    <col min="8193" max="8193" width="5.28515625" style="14" customWidth="1"/>
    <col min="8194" max="8195" width="10.42578125" style="14"/>
    <col min="8196" max="8196" width="8.5703125" style="14" customWidth="1"/>
    <col min="8197" max="8197" width="13.85546875" style="14" bestFit="1" customWidth="1"/>
    <col min="8198" max="8198" width="13" style="14" bestFit="1" customWidth="1"/>
    <col min="8199" max="8199" width="12" style="14" bestFit="1" customWidth="1"/>
    <col min="8200" max="8200" width="11.28515625" style="14" customWidth="1"/>
    <col min="8201" max="8201" width="13.85546875" style="14" bestFit="1" customWidth="1"/>
    <col min="8202" max="8202" width="15" style="14" customWidth="1"/>
    <col min="8203" max="8448" width="10.42578125" style="14"/>
    <col min="8449" max="8449" width="5.28515625" style="14" customWidth="1"/>
    <col min="8450" max="8451" width="10.42578125" style="14"/>
    <col min="8452" max="8452" width="8.5703125" style="14" customWidth="1"/>
    <col min="8453" max="8453" width="13.85546875" style="14" bestFit="1" customWidth="1"/>
    <col min="8454" max="8454" width="13" style="14" bestFit="1" customWidth="1"/>
    <col min="8455" max="8455" width="12" style="14" bestFit="1" customWidth="1"/>
    <col min="8456" max="8456" width="11.28515625" style="14" customWidth="1"/>
    <col min="8457" max="8457" width="13.85546875" style="14" bestFit="1" customWidth="1"/>
    <col min="8458" max="8458" width="15" style="14" customWidth="1"/>
    <col min="8459" max="8704" width="10.42578125" style="14"/>
    <col min="8705" max="8705" width="5.28515625" style="14" customWidth="1"/>
    <col min="8706" max="8707" width="10.42578125" style="14"/>
    <col min="8708" max="8708" width="8.5703125" style="14" customWidth="1"/>
    <col min="8709" max="8709" width="13.85546875" style="14" bestFit="1" customWidth="1"/>
    <col min="8710" max="8710" width="13" style="14" bestFit="1" customWidth="1"/>
    <col min="8711" max="8711" width="12" style="14" bestFit="1" customWidth="1"/>
    <col min="8712" max="8712" width="11.28515625" style="14" customWidth="1"/>
    <col min="8713" max="8713" width="13.85546875" style="14" bestFit="1" customWidth="1"/>
    <col min="8714" max="8714" width="15" style="14" customWidth="1"/>
    <col min="8715" max="8960" width="10.42578125" style="14"/>
    <col min="8961" max="8961" width="5.28515625" style="14" customWidth="1"/>
    <col min="8962" max="8963" width="10.42578125" style="14"/>
    <col min="8964" max="8964" width="8.5703125" style="14" customWidth="1"/>
    <col min="8965" max="8965" width="13.85546875" style="14" bestFit="1" customWidth="1"/>
    <col min="8966" max="8966" width="13" style="14" bestFit="1" customWidth="1"/>
    <col min="8967" max="8967" width="12" style="14" bestFit="1" customWidth="1"/>
    <col min="8968" max="8968" width="11.28515625" style="14" customWidth="1"/>
    <col min="8969" max="8969" width="13.85546875" style="14" bestFit="1" customWidth="1"/>
    <col min="8970" max="8970" width="15" style="14" customWidth="1"/>
    <col min="8971" max="9216" width="10.42578125" style="14"/>
    <col min="9217" max="9217" width="5.28515625" style="14" customWidth="1"/>
    <col min="9218" max="9219" width="10.42578125" style="14"/>
    <col min="9220" max="9220" width="8.5703125" style="14" customWidth="1"/>
    <col min="9221" max="9221" width="13.85546875" style="14" bestFit="1" customWidth="1"/>
    <col min="9222" max="9222" width="13" style="14" bestFit="1" customWidth="1"/>
    <col min="9223" max="9223" width="12" style="14" bestFit="1" customWidth="1"/>
    <col min="9224" max="9224" width="11.28515625" style="14" customWidth="1"/>
    <col min="9225" max="9225" width="13.85546875" style="14" bestFit="1" customWidth="1"/>
    <col min="9226" max="9226" width="15" style="14" customWidth="1"/>
    <col min="9227" max="9472" width="10.42578125" style="14"/>
    <col min="9473" max="9473" width="5.28515625" style="14" customWidth="1"/>
    <col min="9474" max="9475" width="10.42578125" style="14"/>
    <col min="9476" max="9476" width="8.5703125" style="14" customWidth="1"/>
    <col min="9477" max="9477" width="13.85546875" style="14" bestFit="1" customWidth="1"/>
    <col min="9478" max="9478" width="13" style="14" bestFit="1" customWidth="1"/>
    <col min="9479" max="9479" width="12" style="14" bestFit="1" customWidth="1"/>
    <col min="9480" max="9480" width="11.28515625" style="14" customWidth="1"/>
    <col min="9481" max="9481" width="13.85546875" style="14" bestFit="1" customWidth="1"/>
    <col min="9482" max="9482" width="15" style="14" customWidth="1"/>
    <col min="9483" max="9728" width="10.42578125" style="14"/>
    <col min="9729" max="9729" width="5.28515625" style="14" customWidth="1"/>
    <col min="9730" max="9731" width="10.42578125" style="14"/>
    <col min="9732" max="9732" width="8.5703125" style="14" customWidth="1"/>
    <col min="9733" max="9733" width="13.85546875" style="14" bestFit="1" customWidth="1"/>
    <col min="9734" max="9734" width="13" style="14" bestFit="1" customWidth="1"/>
    <col min="9735" max="9735" width="12" style="14" bestFit="1" customWidth="1"/>
    <col min="9736" max="9736" width="11.28515625" style="14" customWidth="1"/>
    <col min="9737" max="9737" width="13.85546875" style="14" bestFit="1" customWidth="1"/>
    <col min="9738" max="9738" width="15" style="14" customWidth="1"/>
    <col min="9739" max="9984" width="10.42578125" style="14"/>
    <col min="9985" max="9985" width="5.28515625" style="14" customWidth="1"/>
    <col min="9986" max="9987" width="10.42578125" style="14"/>
    <col min="9988" max="9988" width="8.5703125" style="14" customWidth="1"/>
    <col min="9989" max="9989" width="13.85546875" style="14" bestFit="1" customWidth="1"/>
    <col min="9990" max="9990" width="13" style="14" bestFit="1" customWidth="1"/>
    <col min="9991" max="9991" width="12" style="14" bestFit="1" customWidth="1"/>
    <col min="9992" max="9992" width="11.28515625" style="14" customWidth="1"/>
    <col min="9993" max="9993" width="13.85546875" style="14" bestFit="1" customWidth="1"/>
    <col min="9994" max="9994" width="15" style="14" customWidth="1"/>
    <col min="9995" max="10240" width="10.42578125" style="14"/>
    <col min="10241" max="10241" width="5.28515625" style="14" customWidth="1"/>
    <col min="10242" max="10243" width="10.42578125" style="14"/>
    <col min="10244" max="10244" width="8.5703125" style="14" customWidth="1"/>
    <col min="10245" max="10245" width="13.85546875" style="14" bestFit="1" customWidth="1"/>
    <col min="10246" max="10246" width="13" style="14" bestFit="1" customWidth="1"/>
    <col min="10247" max="10247" width="12" style="14" bestFit="1" customWidth="1"/>
    <col min="10248" max="10248" width="11.28515625" style="14" customWidth="1"/>
    <col min="10249" max="10249" width="13.85546875" style="14" bestFit="1" customWidth="1"/>
    <col min="10250" max="10250" width="15" style="14" customWidth="1"/>
    <col min="10251" max="10496" width="10.42578125" style="14"/>
    <col min="10497" max="10497" width="5.28515625" style="14" customWidth="1"/>
    <col min="10498" max="10499" width="10.42578125" style="14"/>
    <col min="10500" max="10500" width="8.5703125" style="14" customWidth="1"/>
    <col min="10501" max="10501" width="13.85546875" style="14" bestFit="1" customWidth="1"/>
    <col min="10502" max="10502" width="13" style="14" bestFit="1" customWidth="1"/>
    <col min="10503" max="10503" width="12" style="14" bestFit="1" customWidth="1"/>
    <col min="10504" max="10504" width="11.28515625" style="14" customWidth="1"/>
    <col min="10505" max="10505" width="13.85546875" style="14" bestFit="1" customWidth="1"/>
    <col min="10506" max="10506" width="15" style="14" customWidth="1"/>
    <col min="10507" max="10752" width="10.42578125" style="14"/>
    <col min="10753" max="10753" width="5.28515625" style="14" customWidth="1"/>
    <col min="10754" max="10755" width="10.42578125" style="14"/>
    <col min="10756" max="10756" width="8.5703125" style="14" customWidth="1"/>
    <col min="10757" max="10757" width="13.85546875" style="14" bestFit="1" customWidth="1"/>
    <col min="10758" max="10758" width="13" style="14" bestFit="1" customWidth="1"/>
    <col min="10759" max="10759" width="12" style="14" bestFit="1" customWidth="1"/>
    <col min="10760" max="10760" width="11.28515625" style="14" customWidth="1"/>
    <col min="10761" max="10761" width="13.85546875" style="14" bestFit="1" customWidth="1"/>
    <col min="10762" max="10762" width="15" style="14" customWidth="1"/>
    <col min="10763" max="11008" width="10.42578125" style="14"/>
    <col min="11009" max="11009" width="5.28515625" style="14" customWidth="1"/>
    <col min="11010" max="11011" width="10.42578125" style="14"/>
    <col min="11012" max="11012" width="8.5703125" style="14" customWidth="1"/>
    <col min="11013" max="11013" width="13.85546875" style="14" bestFit="1" customWidth="1"/>
    <col min="11014" max="11014" width="13" style="14" bestFit="1" customWidth="1"/>
    <col min="11015" max="11015" width="12" style="14" bestFit="1" customWidth="1"/>
    <col min="11016" max="11016" width="11.28515625" style="14" customWidth="1"/>
    <col min="11017" max="11017" width="13.85546875" style="14" bestFit="1" customWidth="1"/>
    <col min="11018" max="11018" width="15" style="14" customWidth="1"/>
    <col min="11019" max="11264" width="10.42578125" style="14"/>
    <col min="11265" max="11265" width="5.28515625" style="14" customWidth="1"/>
    <col min="11266" max="11267" width="10.42578125" style="14"/>
    <col min="11268" max="11268" width="8.5703125" style="14" customWidth="1"/>
    <col min="11269" max="11269" width="13.85546875" style="14" bestFit="1" customWidth="1"/>
    <col min="11270" max="11270" width="13" style="14" bestFit="1" customWidth="1"/>
    <col min="11271" max="11271" width="12" style="14" bestFit="1" customWidth="1"/>
    <col min="11272" max="11272" width="11.28515625" style="14" customWidth="1"/>
    <col min="11273" max="11273" width="13.85546875" style="14" bestFit="1" customWidth="1"/>
    <col min="11274" max="11274" width="15" style="14" customWidth="1"/>
    <col min="11275" max="11520" width="10.42578125" style="14"/>
    <col min="11521" max="11521" width="5.28515625" style="14" customWidth="1"/>
    <col min="11522" max="11523" width="10.42578125" style="14"/>
    <col min="11524" max="11524" width="8.5703125" style="14" customWidth="1"/>
    <col min="11525" max="11525" width="13.85546875" style="14" bestFit="1" customWidth="1"/>
    <col min="11526" max="11526" width="13" style="14" bestFit="1" customWidth="1"/>
    <col min="11527" max="11527" width="12" style="14" bestFit="1" customWidth="1"/>
    <col min="11528" max="11528" width="11.28515625" style="14" customWidth="1"/>
    <col min="11529" max="11529" width="13.85546875" style="14" bestFit="1" customWidth="1"/>
    <col min="11530" max="11530" width="15" style="14" customWidth="1"/>
    <col min="11531" max="11776" width="10.42578125" style="14"/>
    <col min="11777" max="11777" width="5.28515625" style="14" customWidth="1"/>
    <col min="11778" max="11779" width="10.42578125" style="14"/>
    <col min="11780" max="11780" width="8.5703125" style="14" customWidth="1"/>
    <col min="11781" max="11781" width="13.85546875" style="14" bestFit="1" customWidth="1"/>
    <col min="11782" max="11782" width="13" style="14" bestFit="1" customWidth="1"/>
    <col min="11783" max="11783" width="12" style="14" bestFit="1" customWidth="1"/>
    <col min="11784" max="11784" width="11.28515625" style="14" customWidth="1"/>
    <col min="11785" max="11785" width="13.85546875" style="14" bestFit="1" customWidth="1"/>
    <col min="11786" max="11786" width="15" style="14" customWidth="1"/>
    <col min="11787" max="12032" width="10.42578125" style="14"/>
    <col min="12033" max="12033" width="5.28515625" style="14" customWidth="1"/>
    <col min="12034" max="12035" width="10.42578125" style="14"/>
    <col min="12036" max="12036" width="8.5703125" style="14" customWidth="1"/>
    <col min="12037" max="12037" width="13.85546875" style="14" bestFit="1" customWidth="1"/>
    <col min="12038" max="12038" width="13" style="14" bestFit="1" customWidth="1"/>
    <col min="12039" max="12039" width="12" style="14" bestFit="1" customWidth="1"/>
    <col min="12040" max="12040" width="11.28515625" style="14" customWidth="1"/>
    <col min="12041" max="12041" width="13.85546875" style="14" bestFit="1" customWidth="1"/>
    <col min="12042" max="12042" width="15" style="14" customWidth="1"/>
    <col min="12043" max="12288" width="10.42578125" style="14"/>
    <col min="12289" max="12289" width="5.28515625" style="14" customWidth="1"/>
    <col min="12290" max="12291" width="10.42578125" style="14"/>
    <col min="12292" max="12292" width="8.5703125" style="14" customWidth="1"/>
    <col min="12293" max="12293" width="13.85546875" style="14" bestFit="1" customWidth="1"/>
    <col min="12294" max="12294" width="13" style="14" bestFit="1" customWidth="1"/>
    <col min="12295" max="12295" width="12" style="14" bestFit="1" customWidth="1"/>
    <col min="12296" max="12296" width="11.28515625" style="14" customWidth="1"/>
    <col min="12297" max="12297" width="13.85546875" style="14" bestFit="1" customWidth="1"/>
    <col min="12298" max="12298" width="15" style="14" customWidth="1"/>
    <col min="12299" max="12544" width="10.42578125" style="14"/>
    <col min="12545" max="12545" width="5.28515625" style="14" customWidth="1"/>
    <col min="12546" max="12547" width="10.42578125" style="14"/>
    <col min="12548" max="12548" width="8.5703125" style="14" customWidth="1"/>
    <col min="12549" max="12549" width="13.85546875" style="14" bestFit="1" customWidth="1"/>
    <col min="12550" max="12550" width="13" style="14" bestFit="1" customWidth="1"/>
    <col min="12551" max="12551" width="12" style="14" bestFit="1" customWidth="1"/>
    <col min="12552" max="12552" width="11.28515625" style="14" customWidth="1"/>
    <col min="12553" max="12553" width="13.85546875" style="14" bestFit="1" customWidth="1"/>
    <col min="12554" max="12554" width="15" style="14" customWidth="1"/>
    <col min="12555" max="12800" width="10.42578125" style="14"/>
    <col min="12801" max="12801" width="5.28515625" style="14" customWidth="1"/>
    <col min="12802" max="12803" width="10.42578125" style="14"/>
    <col min="12804" max="12804" width="8.5703125" style="14" customWidth="1"/>
    <col min="12805" max="12805" width="13.85546875" style="14" bestFit="1" customWidth="1"/>
    <col min="12806" max="12806" width="13" style="14" bestFit="1" customWidth="1"/>
    <col min="12807" max="12807" width="12" style="14" bestFit="1" customWidth="1"/>
    <col min="12808" max="12808" width="11.28515625" style="14" customWidth="1"/>
    <col min="12809" max="12809" width="13.85546875" style="14" bestFit="1" customWidth="1"/>
    <col min="12810" max="12810" width="15" style="14" customWidth="1"/>
    <col min="12811" max="13056" width="10.42578125" style="14"/>
    <col min="13057" max="13057" width="5.28515625" style="14" customWidth="1"/>
    <col min="13058" max="13059" width="10.42578125" style="14"/>
    <col min="13060" max="13060" width="8.5703125" style="14" customWidth="1"/>
    <col min="13061" max="13061" width="13.85546875" style="14" bestFit="1" customWidth="1"/>
    <col min="13062" max="13062" width="13" style="14" bestFit="1" customWidth="1"/>
    <col min="13063" max="13063" width="12" style="14" bestFit="1" customWidth="1"/>
    <col min="13064" max="13064" width="11.28515625" style="14" customWidth="1"/>
    <col min="13065" max="13065" width="13.85546875" style="14" bestFit="1" customWidth="1"/>
    <col min="13066" max="13066" width="15" style="14" customWidth="1"/>
    <col min="13067" max="13312" width="10.42578125" style="14"/>
    <col min="13313" max="13313" width="5.28515625" style="14" customWidth="1"/>
    <col min="13314" max="13315" width="10.42578125" style="14"/>
    <col min="13316" max="13316" width="8.5703125" style="14" customWidth="1"/>
    <col min="13317" max="13317" width="13.85546875" style="14" bestFit="1" customWidth="1"/>
    <col min="13318" max="13318" width="13" style="14" bestFit="1" customWidth="1"/>
    <col min="13319" max="13319" width="12" style="14" bestFit="1" customWidth="1"/>
    <col min="13320" max="13320" width="11.28515625" style="14" customWidth="1"/>
    <col min="13321" max="13321" width="13.85546875" style="14" bestFit="1" customWidth="1"/>
    <col min="13322" max="13322" width="15" style="14" customWidth="1"/>
    <col min="13323" max="13568" width="10.42578125" style="14"/>
    <col min="13569" max="13569" width="5.28515625" style="14" customWidth="1"/>
    <col min="13570" max="13571" width="10.42578125" style="14"/>
    <col min="13572" max="13572" width="8.5703125" style="14" customWidth="1"/>
    <col min="13573" max="13573" width="13.85546875" style="14" bestFit="1" customWidth="1"/>
    <col min="13574" max="13574" width="13" style="14" bestFit="1" customWidth="1"/>
    <col min="13575" max="13575" width="12" style="14" bestFit="1" customWidth="1"/>
    <col min="13576" max="13576" width="11.28515625" style="14" customWidth="1"/>
    <col min="13577" max="13577" width="13.85546875" style="14" bestFit="1" customWidth="1"/>
    <col min="13578" max="13578" width="15" style="14" customWidth="1"/>
    <col min="13579" max="13824" width="10.42578125" style="14"/>
    <col min="13825" max="13825" width="5.28515625" style="14" customWidth="1"/>
    <col min="13826" max="13827" width="10.42578125" style="14"/>
    <col min="13828" max="13828" width="8.5703125" style="14" customWidth="1"/>
    <col min="13829" max="13829" width="13.85546875" style="14" bestFit="1" customWidth="1"/>
    <col min="13830" max="13830" width="13" style="14" bestFit="1" customWidth="1"/>
    <col min="13831" max="13831" width="12" style="14" bestFit="1" customWidth="1"/>
    <col min="13832" max="13832" width="11.28515625" style="14" customWidth="1"/>
    <col min="13833" max="13833" width="13.85546875" style="14" bestFit="1" customWidth="1"/>
    <col min="13834" max="13834" width="15" style="14" customWidth="1"/>
    <col min="13835" max="14080" width="10.42578125" style="14"/>
    <col min="14081" max="14081" width="5.28515625" style="14" customWidth="1"/>
    <col min="14082" max="14083" width="10.42578125" style="14"/>
    <col min="14084" max="14084" width="8.5703125" style="14" customWidth="1"/>
    <col min="14085" max="14085" width="13.85546875" style="14" bestFit="1" customWidth="1"/>
    <col min="14086" max="14086" width="13" style="14" bestFit="1" customWidth="1"/>
    <col min="14087" max="14087" width="12" style="14" bestFit="1" customWidth="1"/>
    <col min="14088" max="14088" width="11.28515625" style="14" customWidth="1"/>
    <col min="14089" max="14089" width="13.85546875" style="14" bestFit="1" customWidth="1"/>
    <col min="14090" max="14090" width="15" style="14" customWidth="1"/>
    <col min="14091" max="14336" width="10.42578125" style="14"/>
    <col min="14337" max="14337" width="5.28515625" style="14" customWidth="1"/>
    <col min="14338" max="14339" width="10.42578125" style="14"/>
    <col min="14340" max="14340" width="8.5703125" style="14" customWidth="1"/>
    <col min="14341" max="14341" width="13.85546875" style="14" bestFit="1" customWidth="1"/>
    <col min="14342" max="14342" width="13" style="14" bestFit="1" customWidth="1"/>
    <col min="14343" max="14343" width="12" style="14" bestFit="1" customWidth="1"/>
    <col min="14344" max="14344" width="11.28515625" style="14" customWidth="1"/>
    <col min="14345" max="14345" width="13.85546875" style="14" bestFit="1" customWidth="1"/>
    <col min="14346" max="14346" width="15" style="14" customWidth="1"/>
    <col min="14347" max="14592" width="10.42578125" style="14"/>
    <col min="14593" max="14593" width="5.28515625" style="14" customWidth="1"/>
    <col min="14594" max="14595" width="10.42578125" style="14"/>
    <col min="14596" max="14596" width="8.5703125" style="14" customWidth="1"/>
    <col min="14597" max="14597" width="13.85546875" style="14" bestFit="1" customWidth="1"/>
    <col min="14598" max="14598" width="13" style="14" bestFit="1" customWidth="1"/>
    <col min="14599" max="14599" width="12" style="14" bestFit="1" customWidth="1"/>
    <col min="14600" max="14600" width="11.28515625" style="14" customWidth="1"/>
    <col min="14601" max="14601" width="13.85546875" style="14" bestFit="1" customWidth="1"/>
    <col min="14602" max="14602" width="15" style="14" customWidth="1"/>
    <col min="14603" max="14848" width="10.42578125" style="14"/>
    <col min="14849" max="14849" width="5.28515625" style="14" customWidth="1"/>
    <col min="14850" max="14851" width="10.42578125" style="14"/>
    <col min="14852" max="14852" width="8.5703125" style="14" customWidth="1"/>
    <col min="14853" max="14853" width="13.85546875" style="14" bestFit="1" customWidth="1"/>
    <col min="14854" max="14854" width="13" style="14" bestFit="1" customWidth="1"/>
    <col min="14855" max="14855" width="12" style="14" bestFit="1" customWidth="1"/>
    <col min="14856" max="14856" width="11.28515625" style="14" customWidth="1"/>
    <col min="14857" max="14857" width="13.85546875" style="14" bestFit="1" customWidth="1"/>
    <col min="14858" max="14858" width="15" style="14" customWidth="1"/>
    <col min="14859" max="15104" width="10.42578125" style="14"/>
    <col min="15105" max="15105" width="5.28515625" style="14" customWidth="1"/>
    <col min="15106" max="15107" width="10.42578125" style="14"/>
    <col min="15108" max="15108" width="8.5703125" style="14" customWidth="1"/>
    <col min="15109" max="15109" width="13.85546875" style="14" bestFit="1" customWidth="1"/>
    <col min="15110" max="15110" width="13" style="14" bestFit="1" customWidth="1"/>
    <col min="15111" max="15111" width="12" style="14" bestFit="1" customWidth="1"/>
    <col min="15112" max="15112" width="11.28515625" style="14" customWidth="1"/>
    <col min="15113" max="15113" width="13.85546875" style="14" bestFit="1" customWidth="1"/>
    <col min="15114" max="15114" width="15" style="14" customWidth="1"/>
    <col min="15115" max="15360" width="10.42578125" style="14"/>
    <col min="15361" max="15361" width="5.28515625" style="14" customWidth="1"/>
    <col min="15362" max="15363" width="10.42578125" style="14"/>
    <col min="15364" max="15364" width="8.5703125" style="14" customWidth="1"/>
    <col min="15365" max="15365" width="13.85546875" style="14" bestFit="1" customWidth="1"/>
    <col min="15366" max="15366" width="13" style="14" bestFit="1" customWidth="1"/>
    <col min="15367" max="15367" width="12" style="14" bestFit="1" customWidth="1"/>
    <col min="15368" max="15368" width="11.28515625" style="14" customWidth="1"/>
    <col min="15369" max="15369" width="13.85546875" style="14" bestFit="1" customWidth="1"/>
    <col min="15370" max="15370" width="15" style="14" customWidth="1"/>
    <col min="15371" max="15616" width="10.42578125" style="14"/>
    <col min="15617" max="15617" width="5.28515625" style="14" customWidth="1"/>
    <col min="15618" max="15619" width="10.42578125" style="14"/>
    <col min="15620" max="15620" width="8.5703125" style="14" customWidth="1"/>
    <col min="15621" max="15621" width="13.85546875" style="14" bestFit="1" customWidth="1"/>
    <col min="15622" max="15622" width="13" style="14" bestFit="1" customWidth="1"/>
    <col min="15623" max="15623" width="12" style="14" bestFit="1" customWidth="1"/>
    <col min="15624" max="15624" width="11.28515625" style="14" customWidth="1"/>
    <col min="15625" max="15625" width="13.85546875" style="14" bestFit="1" customWidth="1"/>
    <col min="15626" max="15626" width="15" style="14" customWidth="1"/>
    <col min="15627" max="15872" width="10.42578125" style="14"/>
    <col min="15873" max="15873" width="5.28515625" style="14" customWidth="1"/>
    <col min="15874" max="15875" width="10.42578125" style="14"/>
    <col min="15876" max="15876" width="8.5703125" style="14" customWidth="1"/>
    <col min="15877" max="15877" width="13.85546875" style="14" bestFit="1" customWidth="1"/>
    <col min="15878" max="15878" width="13" style="14" bestFit="1" customWidth="1"/>
    <col min="15879" max="15879" width="12" style="14" bestFit="1" customWidth="1"/>
    <col min="15880" max="15880" width="11.28515625" style="14" customWidth="1"/>
    <col min="15881" max="15881" width="13.85546875" style="14" bestFit="1" customWidth="1"/>
    <col min="15882" max="15882" width="15" style="14" customWidth="1"/>
    <col min="15883" max="16128" width="10.42578125" style="14"/>
    <col min="16129" max="16129" width="5.28515625" style="14" customWidth="1"/>
    <col min="16130" max="16131" width="10.42578125" style="14"/>
    <col min="16132" max="16132" width="8.5703125" style="14" customWidth="1"/>
    <col min="16133" max="16133" width="13.85546875" style="14" bestFit="1" customWidth="1"/>
    <col min="16134" max="16134" width="13" style="14" bestFit="1" customWidth="1"/>
    <col min="16135" max="16135" width="12" style="14" bestFit="1" customWidth="1"/>
    <col min="16136" max="16136" width="11.28515625" style="14" customWidth="1"/>
    <col min="16137" max="16137" width="13.85546875" style="14" bestFit="1" customWidth="1"/>
    <col min="16138" max="16138" width="15" style="14" customWidth="1"/>
    <col min="16139" max="16384" width="10.42578125" style="14"/>
  </cols>
  <sheetData>
    <row r="1" spans="1:10" ht="15.75" x14ac:dyDescent="0.25">
      <c r="A1" s="97" t="str">
        <f>Scrap_Sale!A1</f>
        <v>XXXXXXXX  Depot</v>
      </c>
      <c r="B1" s="97"/>
      <c r="C1" s="97"/>
      <c r="D1" s="97"/>
      <c r="E1" s="97"/>
      <c r="F1" s="97"/>
      <c r="G1" s="97"/>
      <c r="H1" s="97"/>
      <c r="I1" s="97"/>
      <c r="J1" s="97"/>
    </row>
    <row r="2" spans="1:10" ht="15.75" x14ac:dyDescent="0.25">
      <c r="A2" s="97" t="s">
        <v>49</v>
      </c>
      <c r="B2" s="97"/>
      <c r="C2" s="97"/>
      <c r="D2" s="97"/>
      <c r="E2" s="97"/>
      <c r="F2" s="97"/>
      <c r="G2" s="97"/>
      <c r="H2" s="97"/>
      <c r="I2" s="97"/>
      <c r="J2" s="97"/>
    </row>
    <row r="3" spans="1:10" x14ac:dyDescent="0.25">
      <c r="A3" s="98" t="str">
        <f ca="1">Scrap_Sale!A3</f>
        <v>From Jan-25 to Dec-25</v>
      </c>
      <c r="B3" s="98"/>
      <c r="C3" s="98"/>
      <c r="D3" s="98"/>
      <c r="E3" s="98"/>
      <c r="F3" s="98"/>
      <c r="G3" s="98"/>
      <c r="H3" s="98"/>
      <c r="I3" s="98"/>
      <c r="J3" s="98"/>
    </row>
    <row r="4" spans="1:10" ht="15" x14ac:dyDescent="0.25">
      <c r="A4" s="15"/>
    </row>
    <row r="5" spans="1:10" s="16" customFormat="1" ht="14.25" customHeight="1" x14ac:dyDescent="0.25">
      <c r="A5" s="78"/>
      <c r="B5" s="104" t="s">
        <v>36</v>
      </c>
      <c r="C5" s="104"/>
      <c r="D5" s="104"/>
      <c r="E5" s="104" t="s">
        <v>48</v>
      </c>
      <c r="F5" s="104"/>
      <c r="G5" s="104"/>
      <c r="H5" s="104"/>
      <c r="I5" s="79"/>
      <c r="J5" s="79" t="s">
        <v>0</v>
      </c>
    </row>
    <row r="6" spans="1:10" s="16" customFormat="1" ht="15" x14ac:dyDescent="0.25">
      <c r="A6" s="50" t="s">
        <v>1</v>
      </c>
      <c r="B6" s="80" t="s">
        <v>34</v>
      </c>
      <c r="C6" s="51" t="s">
        <v>2</v>
      </c>
      <c r="D6" s="80" t="s">
        <v>5</v>
      </c>
      <c r="E6" s="52" t="s">
        <v>50</v>
      </c>
      <c r="F6" s="52" t="s">
        <v>39</v>
      </c>
      <c r="G6" s="52" t="s">
        <v>40</v>
      </c>
      <c r="H6" s="52" t="s">
        <v>41</v>
      </c>
      <c r="I6" s="81" t="s">
        <v>4</v>
      </c>
      <c r="J6" s="53" t="s">
        <v>3</v>
      </c>
    </row>
    <row r="7" spans="1:10" x14ac:dyDescent="0.25">
      <c r="A7" s="54">
        <f>IF(Scrap_Sale!A5="","",Scrap_Sale!A5)</f>
        <v>45658</v>
      </c>
      <c r="B7" s="47"/>
      <c r="C7" s="48">
        <f>IFERROR(Table16[[#This Row],[Total Taka]]/Table16[[#This Row],[PCS]],0)</f>
        <v>0</v>
      </c>
      <c r="D7" s="47"/>
      <c r="E7" s="47"/>
      <c r="F7" s="47"/>
      <c r="G7" s="47"/>
      <c r="H7" s="47"/>
      <c r="I7" s="49">
        <f>SUM(Table16[[#This Row],[FG (Human)]:[Sample (vet)]])</f>
        <v>0</v>
      </c>
      <c r="J7" s="55">
        <f>IFERROR(Table16[[#This Row],[Total Taka]]/Table16[[#This Row],[Total Invoice]],0)</f>
        <v>0</v>
      </c>
    </row>
    <row r="8" spans="1:10" x14ac:dyDescent="0.25">
      <c r="A8" s="54">
        <f>IF(Scrap_Sale!A6="","",Scrap_Sale!A6)</f>
        <v>45689</v>
      </c>
      <c r="B8" s="47"/>
      <c r="C8" s="48">
        <f>IFERROR(Table16[[#This Row],[Total Taka]]/Table16[[#This Row],[PCS]],0)</f>
        <v>0</v>
      </c>
      <c r="D8" s="47"/>
      <c r="E8" s="47"/>
      <c r="F8" s="47"/>
      <c r="G8" s="47"/>
      <c r="H8" s="47"/>
      <c r="I8" s="49">
        <f>SUM(Table16[[#This Row],[FG (Human)]:[Sample (vet)]])</f>
        <v>0</v>
      </c>
      <c r="J8" s="55">
        <f>IFERROR(Table16[[#This Row],[Total Taka]]/Table16[[#This Row],[Total Invoice]],0)</f>
        <v>0</v>
      </c>
    </row>
    <row r="9" spans="1:10" x14ac:dyDescent="0.25">
      <c r="A9" s="54">
        <f>IF(Scrap_Sale!A7="","",Scrap_Sale!A7)</f>
        <v>45717</v>
      </c>
      <c r="B9" s="47"/>
      <c r="C9" s="48">
        <f>IFERROR(Table16[[#This Row],[Total Taka]]/Table16[[#This Row],[PCS]],0)</f>
        <v>0</v>
      </c>
      <c r="D9" s="47"/>
      <c r="E9" s="47"/>
      <c r="F9" s="47"/>
      <c r="G9" s="47"/>
      <c r="H9" s="47"/>
      <c r="I9" s="49">
        <f>SUM(Table16[[#This Row],[FG (Human)]:[Sample (vet)]])</f>
        <v>0</v>
      </c>
      <c r="J9" s="55">
        <f>IFERROR(Table16[[#This Row],[Total Taka]]/Table16[[#This Row],[Total Invoice]],0)</f>
        <v>0</v>
      </c>
    </row>
    <row r="10" spans="1:10" x14ac:dyDescent="0.25">
      <c r="A10" s="54">
        <f>IF(Scrap_Sale!A8="","",Scrap_Sale!A8)</f>
        <v>45748</v>
      </c>
      <c r="B10" s="47"/>
      <c r="C10" s="48">
        <f>IFERROR(Table16[[#This Row],[Total Taka]]/Table16[[#This Row],[PCS]],0)</f>
        <v>0</v>
      </c>
      <c r="D10" s="47"/>
      <c r="E10" s="47"/>
      <c r="F10" s="47"/>
      <c r="G10" s="47"/>
      <c r="H10" s="47"/>
      <c r="I10" s="49">
        <f>SUM(Table16[[#This Row],[FG (Human)]:[Sample (vet)]])</f>
        <v>0</v>
      </c>
      <c r="J10" s="55">
        <f>IFERROR(Table16[[#This Row],[Total Taka]]/Table16[[#This Row],[Total Invoice]],0)</f>
        <v>0</v>
      </c>
    </row>
    <row r="11" spans="1:10" x14ac:dyDescent="0.25">
      <c r="A11" s="54">
        <f>IF(Scrap_Sale!A9="","",Scrap_Sale!A9)</f>
        <v>45778</v>
      </c>
      <c r="B11" s="47"/>
      <c r="C11" s="48">
        <f>IFERROR(Table16[[#This Row],[Total Taka]]/Table16[[#This Row],[PCS]],0)</f>
        <v>0</v>
      </c>
      <c r="D11" s="47"/>
      <c r="E11" s="47"/>
      <c r="F11" s="47"/>
      <c r="G11" s="47"/>
      <c r="H11" s="47"/>
      <c r="I11" s="49">
        <f>SUM(Table16[[#This Row],[FG (Human)]:[Sample (vet)]])</f>
        <v>0</v>
      </c>
      <c r="J11" s="55">
        <f>IFERROR(Table16[[#This Row],[Total Taka]]/Table16[[#This Row],[Total Invoice]],0)</f>
        <v>0</v>
      </c>
    </row>
    <row r="12" spans="1:10" x14ac:dyDescent="0.25">
      <c r="A12" s="54">
        <f>IF(Scrap_Sale!A10="","",Scrap_Sale!A10)</f>
        <v>45809</v>
      </c>
      <c r="B12" s="47"/>
      <c r="C12" s="48">
        <f>IFERROR(Table16[[#This Row],[Total Taka]]/Table16[[#This Row],[PCS]],0)</f>
        <v>0</v>
      </c>
      <c r="D12" s="47"/>
      <c r="E12" s="47"/>
      <c r="F12" s="47"/>
      <c r="G12" s="47"/>
      <c r="H12" s="47"/>
      <c r="I12" s="49">
        <f>SUM(Table16[[#This Row],[FG (Human)]:[Sample (vet)]])</f>
        <v>0</v>
      </c>
      <c r="J12" s="55">
        <f>IFERROR(Table16[[#This Row],[Total Taka]]/Table16[[#This Row],[Total Invoice]],0)</f>
        <v>0</v>
      </c>
    </row>
    <row r="13" spans="1:10" x14ac:dyDescent="0.25">
      <c r="A13" s="54">
        <f>IF(Scrap_Sale!A11="","",Scrap_Sale!A11)</f>
        <v>45839</v>
      </c>
      <c r="B13" s="47"/>
      <c r="C13" s="48">
        <f>IFERROR(Table16[[#This Row],[Total Taka]]/Table16[[#This Row],[PCS]],0)</f>
        <v>0</v>
      </c>
      <c r="D13" s="47"/>
      <c r="E13" s="47"/>
      <c r="F13" s="47"/>
      <c r="G13" s="47"/>
      <c r="H13" s="47"/>
      <c r="I13" s="49">
        <f>SUM(Table16[[#This Row],[FG (Human)]:[Sample (vet)]])</f>
        <v>0</v>
      </c>
      <c r="J13" s="55">
        <f>IFERROR(Table16[[#This Row],[Total Taka]]/Table16[[#This Row],[Total Invoice]],0)</f>
        <v>0</v>
      </c>
    </row>
    <row r="14" spans="1:10" x14ac:dyDescent="0.25">
      <c r="A14" s="54">
        <f>IF(Scrap_Sale!A12="","",Scrap_Sale!A12)</f>
        <v>45870</v>
      </c>
      <c r="B14" s="47"/>
      <c r="C14" s="48">
        <f>IFERROR(Table16[[#This Row],[Total Taka]]/Table16[[#This Row],[PCS]],0)</f>
        <v>0</v>
      </c>
      <c r="D14" s="47"/>
      <c r="E14" s="47"/>
      <c r="F14" s="47"/>
      <c r="G14" s="47"/>
      <c r="H14" s="47"/>
      <c r="I14" s="49">
        <f>SUM(Table16[[#This Row],[FG (Human)]:[Sample (vet)]])</f>
        <v>0</v>
      </c>
      <c r="J14" s="55">
        <f>IFERROR(Table16[[#This Row],[Total Taka]]/Table16[[#This Row],[Total Invoice]],0)</f>
        <v>0</v>
      </c>
    </row>
    <row r="15" spans="1:10" x14ac:dyDescent="0.25">
      <c r="A15" s="54">
        <f>IF(Scrap_Sale!A13="","",Scrap_Sale!A13)</f>
        <v>45901</v>
      </c>
      <c r="B15" s="47"/>
      <c r="C15" s="48">
        <f>IFERROR(Table16[[#This Row],[Total Taka]]/Table16[[#This Row],[PCS]],0)</f>
        <v>0</v>
      </c>
      <c r="D15" s="47"/>
      <c r="E15" s="47"/>
      <c r="F15" s="47"/>
      <c r="G15" s="47"/>
      <c r="H15" s="47"/>
      <c r="I15" s="49">
        <f>SUM(Table16[[#This Row],[FG (Human)]:[Sample (vet)]])</f>
        <v>0</v>
      </c>
      <c r="J15" s="55">
        <f>IFERROR(Table16[[#This Row],[Total Taka]]/Table16[[#This Row],[Total Invoice]],0)</f>
        <v>0</v>
      </c>
    </row>
    <row r="16" spans="1:10" x14ac:dyDescent="0.25">
      <c r="A16" s="54">
        <f>IF(Scrap_Sale!A14="","",Scrap_Sale!A14)</f>
        <v>45931</v>
      </c>
      <c r="B16" s="47"/>
      <c r="C16" s="48">
        <f>IFERROR(Table16[[#This Row],[Total Taka]]/Table16[[#This Row],[PCS]],0)</f>
        <v>0</v>
      </c>
      <c r="D16" s="47"/>
      <c r="E16" s="47"/>
      <c r="F16" s="47"/>
      <c r="G16" s="47"/>
      <c r="H16" s="47"/>
      <c r="I16" s="49">
        <f>SUM(Table16[[#This Row],[FG (Human)]:[Sample (vet)]])</f>
        <v>0</v>
      </c>
      <c r="J16" s="55">
        <f>IFERROR(Table16[[#This Row],[Total Taka]]/Table16[[#This Row],[Total Invoice]],0)</f>
        <v>0</v>
      </c>
    </row>
    <row r="17" spans="1:10" x14ac:dyDescent="0.25">
      <c r="A17" s="54">
        <f>IF(Scrap_Sale!A15="","",Scrap_Sale!A15)</f>
        <v>45962</v>
      </c>
      <c r="B17" s="47"/>
      <c r="C17" s="48">
        <f>IFERROR(Table16[[#This Row],[Total Taka]]/Table16[[#This Row],[PCS]],0)</f>
        <v>0</v>
      </c>
      <c r="D17" s="47"/>
      <c r="E17" s="47"/>
      <c r="F17" s="47"/>
      <c r="G17" s="47"/>
      <c r="H17" s="47"/>
      <c r="I17" s="49">
        <f>SUM(Table16[[#This Row],[FG (Human)]:[Sample (vet)]])</f>
        <v>0</v>
      </c>
      <c r="J17" s="55">
        <f>IFERROR(Table16[[#This Row],[Total Taka]]/Table16[[#This Row],[Total Invoice]],0)</f>
        <v>0</v>
      </c>
    </row>
    <row r="18" spans="1:10" x14ac:dyDescent="0.25">
      <c r="A18" s="54">
        <f>IF(Scrap_Sale!A16="","",Scrap_Sale!A16)</f>
        <v>45992</v>
      </c>
      <c r="B18" s="47"/>
      <c r="C18" s="48">
        <f>IFERROR(Table16[[#This Row],[Total Taka]]/Table16[[#This Row],[PCS]],0)</f>
        <v>0</v>
      </c>
      <c r="D18" s="47"/>
      <c r="E18" s="47"/>
      <c r="F18" s="47"/>
      <c r="G18" s="47"/>
      <c r="H18" s="47"/>
      <c r="I18" s="49">
        <f>SUM(Table16[[#This Row],[FG (Human)]:[Sample (vet)]])</f>
        <v>0</v>
      </c>
      <c r="J18" s="55">
        <f>IFERROR(Table16[[#This Row],[Total Taka]]/Table16[[#This Row],[Total Invoice]],0)</f>
        <v>0</v>
      </c>
    </row>
    <row r="19" spans="1:10" ht="22.5" customHeight="1" x14ac:dyDescent="0.25">
      <c r="A19" s="56" t="s">
        <v>6</v>
      </c>
      <c r="B19" s="37">
        <f>SUM(B7:B18)</f>
        <v>0</v>
      </c>
      <c r="C19" s="57">
        <f>IFERROR(Table16[[#This Row],[Total Taka]]/Table16[[#This Row],[PCS]],0)</f>
        <v>0</v>
      </c>
      <c r="D19" s="38">
        <f t="shared" ref="D19:I19" si="0">SUM(D7:D18)</f>
        <v>0</v>
      </c>
      <c r="E19" s="37">
        <f t="shared" si="0"/>
        <v>0</v>
      </c>
      <c r="F19" s="37">
        <f t="shared" si="0"/>
        <v>0</v>
      </c>
      <c r="G19" s="37"/>
      <c r="H19" s="37">
        <f t="shared" si="0"/>
        <v>0</v>
      </c>
      <c r="I19" s="37">
        <f t="shared" si="0"/>
        <v>0</v>
      </c>
      <c r="J19" s="58">
        <f>IFERROR(Table16[[#This Row],[Total Taka]]/Table16[[#This Row],[Total Invoice]],0)</f>
        <v>0</v>
      </c>
    </row>
    <row r="20" spans="1:10" ht="12" customHeight="1" x14ac:dyDescent="0.2">
      <c r="A20" s="21" t="s">
        <v>35</v>
      </c>
      <c r="B20" s="105">
        <f>B19/COUNT(A7:A18)</f>
        <v>0</v>
      </c>
      <c r="C20" s="106"/>
      <c r="D20" s="106"/>
      <c r="E20" s="106"/>
      <c r="F20" s="106"/>
      <c r="G20" s="106"/>
      <c r="H20" s="106"/>
      <c r="I20" s="108" t="s">
        <v>51</v>
      </c>
      <c r="J20" s="109">
        <v>2</v>
      </c>
    </row>
    <row r="21" spans="1:10" x14ac:dyDescent="0.25">
      <c r="A21" s="18" t="str">
        <f>"Sajib"&amp;" "&amp;CHAR(169)</f>
        <v>Sajib ©</v>
      </c>
      <c r="B21" s="111" t="str">
        <f>"Average Plastic Rope consumption against per invoice except sample was Tk."&amp;TEXT(J19, "#,##,##0.00")&amp;" which was "&amp;IF(J19&lt;J20,"decreased than",IF(J19&gt;J20,"increased than","equal as"))&amp;" previous audit period. Last audit period per invoice cost was Tk."&amp;TEXT(J20, "#,##,##0.00")&amp;"."</f>
        <v>Average Plastic Rope consumption against per invoice except sample was Tk.0.00 which was decreased than previous audit period. Last audit period per invoice cost was Tk.2.00.</v>
      </c>
      <c r="C21" s="111"/>
      <c r="D21" s="111"/>
      <c r="E21" s="111"/>
      <c r="F21" s="111"/>
      <c r="G21" s="111"/>
      <c r="H21" s="111"/>
      <c r="I21" s="111"/>
      <c r="J21" s="111"/>
    </row>
    <row r="22" spans="1:10" x14ac:dyDescent="0.25">
      <c r="A22" s="111" t="str">
        <f>B21&amp;"It is to be noted that, we could not calculate month to month average Plastic Rope consumption rate per invoice due to lack of proper recording of monthly Plastic Rope  consumption."</f>
        <v>Average Plastic Rope consumption against per invoice except sample was Tk.0.00 which was decreased than previous audit period. Last audit period per invoice cost was Tk.2.00.It is to be noted that, we could not calculate month to month average Plastic Rope consumption rate per invoice due to lack of proper recording of monthly Plastic Rope  consumption.</v>
      </c>
      <c r="B22" s="111"/>
      <c r="C22" s="111"/>
      <c r="D22" s="111"/>
      <c r="E22" s="111"/>
      <c r="F22" s="111"/>
      <c r="G22" s="111"/>
      <c r="H22" s="111"/>
      <c r="I22" s="111"/>
      <c r="J22" s="111"/>
    </row>
    <row r="23" spans="1:10" x14ac:dyDescent="0.25">
      <c r="A23" s="110"/>
      <c r="B23" s="110"/>
      <c r="C23" s="110"/>
      <c r="D23" s="110"/>
      <c r="E23" s="110"/>
      <c r="F23" s="110"/>
      <c r="G23" s="110"/>
      <c r="H23" s="110"/>
      <c r="I23" s="110"/>
      <c r="J23" s="110"/>
    </row>
    <row r="24" spans="1:10" x14ac:dyDescent="0.25">
      <c r="A24" s="4"/>
      <c r="C24" s="106"/>
      <c r="D24" s="106"/>
      <c r="E24" s="106"/>
      <c r="F24" s="106"/>
      <c r="G24" s="106"/>
      <c r="H24" s="106"/>
      <c r="I24" s="106"/>
      <c r="J24" s="107"/>
    </row>
  </sheetData>
  <sheetProtection password="CEDB" sheet="1" objects="1" scenarios="1"/>
  <mergeCells count="7">
    <mergeCell ref="A22:J22"/>
    <mergeCell ref="A1:J1"/>
    <mergeCell ref="A2:J2"/>
    <mergeCell ref="A3:J3"/>
    <mergeCell ref="B5:D5"/>
    <mergeCell ref="E5:H5"/>
    <mergeCell ref="B21:J21"/>
  </mergeCells>
  <pageMargins left="1.2" right="1" top="1" bottom="1" header="0" footer="0"/>
  <pageSetup paperSize="9" orientation="landscape" verticalDpi="1200" r:id="rId1"/>
  <legacy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H19"/>
  <sheetViews>
    <sheetView view="pageBreakPreview" zoomScale="110" zoomScaleNormal="100" zoomScaleSheetLayoutView="110" workbookViewId="0">
      <selection activeCell="C11" sqref="C11"/>
    </sheetView>
  </sheetViews>
  <sheetFormatPr defaultColWidth="11.85546875" defaultRowHeight="15" x14ac:dyDescent="0.25"/>
  <cols>
    <col min="1" max="1" width="13.140625" style="6" customWidth="1"/>
    <col min="2" max="2" width="34.28515625" style="6" customWidth="1"/>
    <col min="3" max="3" width="30.140625" style="6" customWidth="1"/>
    <col min="4" max="4" width="19.5703125" style="6" customWidth="1"/>
    <col min="5" max="8" width="11.85546875" style="7"/>
    <col min="9" max="16384" width="11.85546875" style="6"/>
  </cols>
  <sheetData>
    <row r="1" spans="1:4" ht="15.75" x14ac:dyDescent="0.25">
      <c r="A1" s="99" t="str">
        <f>Scrap_Sale!A1</f>
        <v>XXXXXXXX  Depot</v>
      </c>
      <c r="B1" s="99"/>
      <c r="C1" s="99"/>
      <c r="D1" s="99"/>
    </row>
    <row r="2" spans="1:4" ht="15.75" x14ac:dyDescent="0.25">
      <c r="A2" s="99" t="s">
        <v>23</v>
      </c>
      <c r="B2" s="99"/>
      <c r="C2" s="99"/>
      <c r="D2" s="99"/>
    </row>
    <row r="3" spans="1:4" x14ac:dyDescent="0.25">
      <c r="A3" s="100" t="str">
        <f ca="1">Scrap_Sale!A3</f>
        <v>From Jan-25 to Dec-25</v>
      </c>
      <c r="B3" s="100"/>
      <c r="C3" s="100"/>
      <c r="D3" s="100"/>
    </row>
    <row r="4" spans="1:4" ht="9.75" customHeight="1" x14ac:dyDescent="0.25">
      <c r="A4" s="8"/>
      <c r="B4" s="8"/>
      <c r="C4" s="8"/>
      <c r="D4" s="8"/>
    </row>
    <row r="5" spans="1:4" ht="28.5" x14ac:dyDescent="0.25">
      <c r="A5" s="60" t="s">
        <v>24</v>
      </c>
      <c r="B5" s="61" t="s">
        <v>25</v>
      </c>
      <c r="C5" s="61" t="s">
        <v>26</v>
      </c>
      <c r="D5" s="62" t="s">
        <v>27</v>
      </c>
    </row>
    <row r="6" spans="1:4" x14ac:dyDescent="0.25">
      <c r="A6" s="63">
        <f>IF(Scrap_Sale!A5="","",Scrap_Sale!A5)</f>
        <v>45658</v>
      </c>
      <c r="B6" s="64"/>
      <c r="C6" s="64"/>
      <c r="D6" s="65" t="str">
        <f>IF(Table9[[#This Row],[Date Expired 
Taka]]-Table9[[#This Row],[Replace bill 
Taka]]=0,"",Table9[[#This Row],[Date Expired 
Taka]]-Table9[[#This Row],[Replace bill 
Taka]])</f>
        <v/>
      </c>
    </row>
    <row r="7" spans="1:4" x14ac:dyDescent="0.25">
      <c r="A7" s="63">
        <f>IF(Scrap_Sale!A6="","",Scrap_Sale!A6)</f>
        <v>45689</v>
      </c>
      <c r="B7" s="64"/>
      <c r="C7" s="64"/>
      <c r="D7" s="65" t="str">
        <f>IF(Table9[[#This Row],[Date Expired 
Taka]]-Table9[[#This Row],[Replace bill 
Taka]]=0,"",Table9[[#This Row],[Date Expired 
Taka]]-Table9[[#This Row],[Replace bill 
Taka]])</f>
        <v/>
      </c>
    </row>
    <row r="8" spans="1:4" x14ac:dyDescent="0.25">
      <c r="A8" s="63">
        <f>IF(Scrap_Sale!A7="","",Scrap_Sale!A7)</f>
        <v>45717</v>
      </c>
      <c r="B8" s="64"/>
      <c r="C8" s="64"/>
      <c r="D8" s="65" t="str">
        <f>IF(Table9[[#This Row],[Date Expired 
Taka]]-Table9[[#This Row],[Replace bill 
Taka]]=0,"",Table9[[#This Row],[Date Expired 
Taka]]-Table9[[#This Row],[Replace bill 
Taka]])</f>
        <v/>
      </c>
    </row>
    <row r="9" spans="1:4" x14ac:dyDescent="0.25">
      <c r="A9" s="63">
        <f>IF(Scrap_Sale!A8="","",Scrap_Sale!A8)</f>
        <v>45748</v>
      </c>
      <c r="B9" s="64"/>
      <c r="C9" s="64"/>
      <c r="D9" s="65" t="str">
        <f>IF(Table9[[#This Row],[Date Expired 
Taka]]-Table9[[#This Row],[Replace bill 
Taka]]=0,"",Table9[[#This Row],[Date Expired 
Taka]]-Table9[[#This Row],[Replace bill 
Taka]])</f>
        <v/>
      </c>
    </row>
    <row r="10" spans="1:4" x14ac:dyDescent="0.25">
      <c r="A10" s="63">
        <f>IF(Scrap_Sale!A9="","",Scrap_Sale!A9)</f>
        <v>45778</v>
      </c>
      <c r="B10" s="64"/>
      <c r="C10" s="64"/>
      <c r="D10" s="65" t="str">
        <f>IF(Table9[[#This Row],[Date Expired 
Taka]]-Table9[[#This Row],[Replace bill 
Taka]]=0,"",Table9[[#This Row],[Date Expired 
Taka]]-Table9[[#This Row],[Replace bill 
Taka]])</f>
        <v/>
      </c>
    </row>
    <row r="11" spans="1:4" x14ac:dyDescent="0.25">
      <c r="A11" s="63">
        <f>IF(Scrap_Sale!A10="","",Scrap_Sale!A10)</f>
        <v>45809</v>
      </c>
      <c r="B11" s="64"/>
      <c r="C11" s="64"/>
      <c r="D11" s="65" t="str">
        <f>IF(Table9[[#This Row],[Date Expired 
Taka]]-Table9[[#This Row],[Replace bill 
Taka]]=0,"",Table9[[#This Row],[Date Expired 
Taka]]-Table9[[#This Row],[Replace bill 
Taka]])</f>
        <v/>
      </c>
    </row>
    <row r="12" spans="1:4" x14ac:dyDescent="0.25">
      <c r="A12" s="63">
        <f>IF(Scrap_Sale!A11="","",Scrap_Sale!A11)</f>
        <v>45839</v>
      </c>
      <c r="B12" s="64"/>
      <c r="C12" s="64"/>
      <c r="D12" s="65" t="str">
        <f>IF(Table9[[#This Row],[Date Expired 
Taka]]-Table9[[#This Row],[Replace bill 
Taka]]=0,"",Table9[[#This Row],[Date Expired 
Taka]]-Table9[[#This Row],[Replace bill 
Taka]])</f>
        <v/>
      </c>
    </row>
    <row r="13" spans="1:4" x14ac:dyDescent="0.25">
      <c r="A13" s="63">
        <f>IF(Scrap_Sale!A12="","",Scrap_Sale!A12)</f>
        <v>45870</v>
      </c>
      <c r="B13" s="64"/>
      <c r="C13" s="64"/>
      <c r="D13" s="65" t="str">
        <f>IF(Table9[[#This Row],[Date Expired 
Taka]]-Table9[[#This Row],[Replace bill 
Taka]]=0,"",Table9[[#This Row],[Date Expired 
Taka]]-Table9[[#This Row],[Replace bill 
Taka]])</f>
        <v/>
      </c>
    </row>
    <row r="14" spans="1:4" x14ac:dyDescent="0.25">
      <c r="A14" s="63">
        <f>IF(Scrap_Sale!A13="","",Scrap_Sale!A13)</f>
        <v>45901</v>
      </c>
      <c r="B14" s="64"/>
      <c r="C14" s="64"/>
      <c r="D14" s="65" t="str">
        <f>IF(Table9[[#This Row],[Date Expired 
Taka]]-Table9[[#This Row],[Replace bill 
Taka]]=0,"",Table9[[#This Row],[Date Expired 
Taka]]-Table9[[#This Row],[Replace bill 
Taka]])</f>
        <v/>
      </c>
    </row>
    <row r="15" spans="1:4" x14ac:dyDescent="0.25">
      <c r="A15" s="63">
        <f>IF(Scrap_Sale!A14="","",Scrap_Sale!A14)</f>
        <v>45931</v>
      </c>
      <c r="B15" s="64"/>
      <c r="C15" s="64"/>
      <c r="D15" s="65" t="str">
        <f>IF(Table9[[#This Row],[Date Expired 
Taka]]-Table9[[#This Row],[Replace bill 
Taka]]=0,"",Table9[[#This Row],[Date Expired 
Taka]]-Table9[[#This Row],[Replace bill 
Taka]])</f>
        <v/>
      </c>
    </row>
    <row r="16" spans="1:4" x14ac:dyDescent="0.25">
      <c r="A16" s="63">
        <f>IF(Scrap_Sale!A15="","",Scrap_Sale!A15)</f>
        <v>45962</v>
      </c>
      <c r="B16" s="64"/>
      <c r="C16" s="64"/>
      <c r="D16" s="65" t="str">
        <f>IF(Table9[[#This Row],[Date Expired 
Taka]]-Table9[[#This Row],[Replace bill 
Taka]]=0,"",Table9[[#This Row],[Date Expired 
Taka]]-Table9[[#This Row],[Replace bill 
Taka]])</f>
        <v/>
      </c>
    </row>
    <row r="17" spans="1:8" x14ac:dyDescent="0.25">
      <c r="A17" s="63">
        <f>IF(Scrap_Sale!A16="","",Scrap_Sale!A16)</f>
        <v>45992</v>
      </c>
      <c r="B17" s="64"/>
      <c r="C17" s="64"/>
      <c r="D17" s="65" t="str">
        <f>IF(Table9[[#This Row],[Date Expired 
Taka]]-Table9[[#This Row],[Replace bill 
Taka]]=0,"",Table9[[#This Row],[Date Expired 
Taka]]-Table9[[#This Row],[Replace bill 
Taka]])</f>
        <v/>
      </c>
    </row>
    <row r="18" spans="1:8" x14ac:dyDescent="0.25">
      <c r="A18" s="66" t="s">
        <v>6</v>
      </c>
      <c r="B18" s="67">
        <f>SUM(B6:B17)</f>
        <v>0</v>
      </c>
      <c r="C18" s="67">
        <f t="shared" ref="C18" si="0">SUM(C6:C17)</f>
        <v>0</v>
      </c>
      <c r="D18" s="68">
        <f>SUM(D6:D17)</f>
        <v>0</v>
      </c>
    </row>
    <row r="19" spans="1:8" s="5" customFormat="1" ht="12" customHeight="1" x14ac:dyDescent="0.25">
      <c r="A19" s="5" t="str">
        <f>"Sajib"&amp;" "&amp;CHAR(169)</f>
        <v>Sajib ©</v>
      </c>
      <c r="E19" s="9"/>
      <c r="F19" s="9"/>
      <c r="G19" s="9"/>
      <c r="H19" s="9"/>
    </row>
  </sheetData>
  <sheetProtection password="CEDB" sheet="1" objects="1" scenarios="1"/>
  <mergeCells count="3">
    <mergeCell ref="A1:D1"/>
    <mergeCell ref="A2:D2"/>
    <mergeCell ref="A3:D3"/>
  </mergeCells>
  <pageMargins left="1.2" right="0.7" top="1" bottom="1" header="0" footer="0"/>
  <pageSetup paperSize="9" orientation="landscape" verticalDpi="1200" r:id="rId1"/>
  <legacy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Scrap_Sale</vt:lpstr>
      <vt:lpstr>G1_Fuel</vt:lpstr>
      <vt:lpstr>G2_Fuel</vt:lpstr>
      <vt:lpstr>G_note</vt:lpstr>
      <vt:lpstr>Vehicles</vt:lpstr>
      <vt:lpstr>Carton</vt:lpstr>
      <vt:lpstr>Note_Car_P_Rope</vt:lpstr>
      <vt:lpstr>P_Rope</vt:lpstr>
      <vt:lpstr>D Exp,Replace</vt:lpstr>
      <vt:lpstr>Carton!Print_Area</vt:lpstr>
      <vt:lpstr>G1_Fuel!Print_Area</vt:lpstr>
      <vt:lpstr>G2_Fuel!Print_Area</vt:lpstr>
      <vt:lpstr>P_Rope!Print_Area</vt:lpstr>
      <vt:lpstr>Scrap_Sale!Print_Area</vt:lpstr>
      <vt:lpstr>Vehicles!Print_Area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Sajib Sarker 03395</dc:creator>
  <cp:lastModifiedBy>Sajib Sarker</cp:lastModifiedBy>
  <cp:lastPrinted>2026-01-06T07:34:40Z</cp:lastPrinted>
  <dcterms:created xsi:type="dcterms:W3CDTF">2015-06-05T18:17:20Z</dcterms:created>
  <dcterms:modified xsi:type="dcterms:W3CDTF">2026-01-06T09:30:56Z</dcterms:modified>
</cp:coreProperties>
</file>