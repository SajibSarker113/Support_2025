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
    </mc:Choice>
  </mc:AlternateContent>
  <xr:revisionPtr revIDLastSave="0" documentId="13_ncr:1_{11377C65-D972-4EBB-80FD-47619627C5DB}" xr6:coauthVersionLast="36" xr6:coauthVersionMax="36" xr10:uidLastSave="{00000000-0000-0000-0000-000000000000}"/>
  <bookViews>
    <workbookView xWindow="0" yWindow="0" windowWidth="22260" windowHeight="12645" xr2:uid="{00000000-000D-0000-FFFF-FFFF00000000}"/>
  </bookViews>
  <sheets>
    <sheet name="Gita topic" sheetId="12" r:id="rId1"/>
    <sheet name="বিল চেক" sheetId="7" r:id="rId2"/>
    <sheet name="CFT" sheetId="10" r:id="rId3"/>
    <sheet name="SF" sheetId="11" r:id="rId4"/>
    <sheet name="SF (3)" sheetId="20" r:id="rId5"/>
    <sheet name="SF (2)" sheetId="19" r:id="rId6"/>
    <sheet name="📋VAT" sheetId="4" r:id="rId7"/>
    <sheet name="Inch to SFT" sheetId="6" r:id="rId8"/>
    <sheet name="CFT3" sheetId="2" r:id="rId9"/>
    <sheet name="bank" sheetId="16" r:id="rId10"/>
    <sheet name="Meter" sheetId="3" r:id="rId11"/>
    <sheet name="35" sheetId="18" r:id="rId1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1" i="10" l="1"/>
  <c r="E26" i="10"/>
  <c r="D47" i="12"/>
  <c r="C48" i="12"/>
  <c r="M7" i="20" l="1"/>
  <c r="A2" i="20"/>
  <c r="B20" i="20" s="1"/>
  <c r="H19" i="19"/>
  <c r="B19" i="20" l="1"/>
  <c r="I7" i="20"/>
  <c r="Y7" i="20"/>
  <c r="D7" i="20"/>
  <c r="T7" i="20"/>
  <c r="B13" i="20"/>
  <c r="AC7" i="20"/>
  <c r="B22" i="20"/>
  <c r="F7" i="20"/>
  <c r="N7" i="20"/>
  <c r="V7" i="20"/>
  <c r="AD7" i="20"/>
  <c r="B15" i="20"/>
  <c r="B23" i="20"/>
  <c r="G7" i="20"/>
  <c r="O7" i="20"/>
  <c r="W7" i="20"/>
  <c r="AE7" i="20"/>
  <c r="B16" i="20"/>
  <c r="Q7" i="20"/>
  <c r="B18" i="20"/>
  <c r="L7" i="20"/>
  <c r="AB7" i="20"/>
  <c r="B21" i="20"/>
  <c r="E7" i="20"/>
  <c r="U7" i="20"/>
  <c r="B14" i="20"/>
  <c r="H7" i="20"/>
  <c r="P7" i="20"/>
  <c r="X7" i="20"/>
  <c r="AF7" i="20"/>
  <c r="B17" i="20"/>
  <c r="J7" i="20"/>
  <c r="R7" i="20"/>
  <c r="Z7" i="20"/>
  <c r="C7" i="20"/>
  <c r="K7" i="20"/>
  <c r="S7" i="20"/>
  <c r="AA7" i="20"/>
  <c r="B12" i="20"/>
  <c r="D5" i="19"/>
  <c r="E5" i="19"/>
  <c r="F5" i="19"/>
  <c r="G5" i="19"/>
  <c r="H5" i="19"/>
  <c r="I5" i="19"/>
  <c r="J5" i="19"/>
  <c r="K5" i="19"/>
  <c r="L5" i="19"/>
  <c r="M5" i="19"/>
  <c r="N5" i="19"/>
  <c r="O5" i="19"/>
  <c r="P5" i="19"/>
  <c r="Q5" i="19"/>
  <c r="R5" i="19"/>
  <c r="S5" i="19"/>
  <c r="T5" i="19"/>
  <c r="U5" i="19"/>
  <c r="V5" i="19"/>
  <c r="W5" i="19"/>
  <c r="X5" i="19"/>
  <c r="Y5" i="19"/>
  <c r="Z5" i="19"/>
  <c r="AA5" i="19"/>
  <c r="AB5" i="19"/>
  <c r="AC5" i="19"/>
  <c r="AD5" i="19"/>
  <c r="AE5" i="19"/>
  <c r="AF5" i="19"/>
  <c r="C5" i="19"/>
  <c r="A2" i="19"/>
  <c r="B21" i="19" s="1"/>
  <c r="B7" i="20" l="1"/>
  <c r="B9" i="20" s="1"/>
  <c r="B10" i="20" s="1"/>
  <c r="B19" i="19"/>
  <c r="B14" i="19"/>
  <c r="B16" i="19"/>
  <c r="B17" i="19"/>
  <c r="B5" i="19"/>
  <c r="B7" i="19" s="1"/>
  <c r="B8" i="19" s="1"/>
  <c r="B10" i="19"/>
  <c r="B18" i="19"/>
  <c r="B15" i="19"/>
  <c r="B11" i="19"/>
  <c r="B12" i="19"/>
  <c r="B20" i="19"/>
  <c r="B13" i="19"/>
  <c r="AL27" i="18"/>
  <c r="K27" i="18"/>
  <c r="A27" i="18"/>
  <c r="C27" i="18"/>
  <c r="D27" i="18"/>
  <c r="E27" i="18"/>
  <c r="F27" i="18"/>
  <c r="G27" i="18"/>
  <c r="H27" i="18"/>
  <c r="I27" i="18"/>
  <c r="J27" i="18"/>
  <c r="L27" i="18"/>
  <c r="M27" i="18"/>
  <c r="N27" i="18"/>
  <c r="AJ27" i="18" s="1"/>
  <c r="AK28" i="18" s="1"/>
  <c r="O27" i="18"/>
  <c r="P27" i="18"/>
  <c r="Q27" i="18"/>
  <c r="R27" i="18"/>
  <c r="S27" i="18"/>
  <c r="T27" i="18"/>
  <c r="U27" i="18"/>
  <c r="V27" i="18"/>
  <c r="W27" i="18"/>
  <c r="X27" i="18"/>
  <c r="Y27" i="18"/>
  <c r="Z27" i="18"/>
  <c r="AA27" i="18"/>
  <c r="AB27" i="18"/>
  <c r="AC27" i="18"/>
  <c r="AD27" i="18"/>
  <c r="AE27" i="18"/>
  <c r="AF27" i="18"/>
  <c r="AG27" i="18"/>
  <c r="AH27" i="18"/>
  <c r="AI27" i="18"/>
  <c r="B27" i="18"/>
  <c r="H131" i="3"/>
  <c r="H129" i="3"/>
  <c r="H127" i="3"/>
  <c r="H130" i="3" s="1"/>
  <c r="G5" i="3"/>
  <c r="B36" i="16" l="1"/>
  <c r="B38" i="16" s="1"/>
  <c r="B16" i="16" l="1"/>
  <c r="D7" i="16"/>
  <c r="C3" i="7" l="1"/>
  <c r="C2" i="7"/>
  <c r="AF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C7" i="11"/>
  <c r="B7" i="11" s="1"/>
  <c r="A2" i="11"/>
  <c r="B19" i="11" s="1"/>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C9" i="10"/>
  <c r="B9" i="10" l="1"/>
  <c r="B17" i="11"/>
  <c r="B18" i="11"/>
  <c r="B20" i="11"/>
  <c r="B16" i="11"/>
  <c r="B12" i="11"/>
  <c r="B21" i="11"/>
  <c r="B13" i="11"/>
  <c r="B22" i="11"/>
  <c r="B14" i="11"/>
  <c r="B23" i="11"/>
  <c r="B15" i="11"/>
  <c r="A2" i="10"/>
  <c r="H31" i="2"/>
  <c r="H7" i="2"/>
  <c r="H4" i="2"/>
  <c r="H5" i="2"/>
  <c r="H6" i="2"/>
  <c r="H8" i="2"/>
  <c r="H9" i="2"/>
  <c r="H10" i="2"/>
  <c r="H11" i="2"/>
  <c r="H12" i="2"/>
  <c r="H13" i="2"/>
  <c r="H14" i="2"/>
  <c r="H15" i="2"/>
  <c r="H16" i="2"/>
  <c r="H17" i="2"/>
  <c r="H18" i="2"/>
  <c r="H19" i="2"/>
  <c r="H20" i="2"/>
  <c r="H21" i="2"/>
  <c r="H22" i="2"/>
  <c r="H23" i="2"/>
  <c r="H24" i="2"/>
  <c r="H25" i="2"/>
  <c r="H26" i="2"/>
  <c r="H27" i="2"/>
  <c r="H28" i="2"/>
  <c r="H29" i="2"/>
  <c r="H30" i="2"/>
  <c r="H3" i="2"/>
  <c r="B9" i="11" l="1"/>
  <c r="B10" i="11" s="1"/>
  <c r="B16" i="10"/>
  <c r="B19" i="10"/>
  <c r="B17" i="10"/>
  <c r="B20" i="10"/>
  <c r="B18" i="10"/>
  <c r="B14" i="10"/>
  <c r="B25" i="10"/>
  <c r="B22" i="10"/>
  <c r="B24" i="10"/>
  <c r="B21" i="10"/>
  <c r="B23" i="10"/>
  <c r="B15" i="10"/>
  <c r="C6" i="7"/>
  <c r="D3" i="7" l="1"/>
  <c r="B3" i="7" s="1"/>
  <c r="D2" i="7"/>
  <c r="B2" i="7" s="1"/>
  <c r="C7" i="7"/>
  <c r="D7" i="7" s="1"/>
  <c r="C8" i="7"/>
  <c r="D8" i="7" s="1"/>
  <c r="C9" i="7"/>
  <c r="D9" i="7" s="1"/>
  <c r="C10" i="7"/>
  <c r="D10" i="7" s="1"/>
  <c r="B11" i="10"/>
  <c r="B12" i="10" s="1"/>
  <c r="H15" i="4"/>
  <c r="H16" i="4"/>
  <c r="C7" i="6" l="1"/>
  <c r="C8" i="6"/>
  <c r="C9" i="6"/>
  <c r="C10" i="6"/>
  <c r="C11" i="6"/>
  <c r="C12" i="6"/>
  <c r="C13" i="6"/>
  <c r="C14" i="6"/>
  <c r="C15" i="6"/>
  <c r="C16" i="6"/>
  <c r="C17" i="6"/>
  <c r="C18" i="6"/>
  <c r="C19" i="6"/>
  <c r="C2" i="6"/>
  <c r="C3" i="6"/>
  <c r="C4" i="6"/>
  <c r="C5" i="6"/>
  <c r="C6" i="6"/>
  <c r="C1" i="6"/>
  <c r="C20" i="6" l="1"/>
  <c r="F14" i="4" l="1"/>
  <c r="F15" i="4"/>
  <c r="F16" i="4"/>
  <c r="F13" i="4"/>
  <c r="F12" i="4"/>
  <c r="D15" i="4"/>
  <c r="G15" i="4" s="1"/>
  <c r="D13" i="4"/>
  <c r="D12" i="4"/>
  <c r="D14" i="4"/>
  <c r="H14" i="4" s="1"/>
  <c r="D16" i="4"/>
  <c r="G16" i="4" s="1"/>
  <c r="C8" i="4"/>
  <c r="D8" i="4" s="1"/>
  <c r="C7" i="4"/>
  <c r="D7" i="4" s="1"/>
  <c r="C6" i="4"/>
  <c r="D6" i="4" s="1"/>
  <c r="G14" i="4" l="1"/>
  <c r="G13" i="4"/>
  <c r="H13" i="4"/>
  <c r="G12" i="4"/>
  <c r="H12" i="4"/>
  <c r="K3" i="2" l="1"/>
  <c r="K4" i="2"/>
  <c r="K5" i="2"/>
  <c r="K6" i="2"/>
  <c r="K7" i="2"/>
  <c r="K8" i="2"/>
  <c r="K9" i="2"/>
  <c r="K10" i="2"/>
  <c r="K11" i="2"/>
  <c r="K12" i="2"/>
  <c r="K13" i="2"/>
  <c r="K2" i="2"/>
  <c r="A1" i="2"/>
  <c r="H32" i="2" l="1"/>
  <c r="H1" i="2" s="1"/>
  <c r="I1" i="2" s="1"/>
</calcChain>
</file>

<file path=xl/sharedStrings.xml><?xml version="1.0" encoding="utf-8"?>
<sst xmlns="http://schemas.openxmlformats.org/spreadsheetml/2006/main" count="175" uniqueCount="106">
  <si>
    <t>=100+15</t>
  </si>
  <si>
    <t>Sales with VAT</t>
  </si>
  <si>
    <t>Sales wo VAT</t>
  </si>
  <si>
    <t>% to find Principal TK.</t>
  </si>
  <si>
    <r>
      <t xml:space="preserve">Reverse Calculation  for  </t>
    </r>
    <r>
      <rPr>
        <b/>
        <sz val="16"/>
        <color rgb="FFFF0000"/>
        <rFont val="Calibri"/>
        <family val="2"/>
        <scheme val="minor"/>
      </rPr>
      <t>Amount without VAT</t>
    </r>
  </si>
  <si>
    <r>
      <t xml:space="preserve">Change rate </t>
    </r>
    <r>
      <rPr>
        <b/>
        <sz val="11"/>
        <color theme="8"/>
        <rFont val="Arial"/>
        <family val="2"/>
      </rPr>
      <t>▼</t>
    </r>
  </si>
  <si>
    <t>VAT rate</t>
  </si>
  <si>
    <r>
      <t xml:space="preserve">Sales with VAT </t>
    </r>
    <r>
      <rPr>
        <b/>
        <sz val="14"/>
        <color rgb="FFFF0000"/>
        <rFont val="Calibri"/>
        <family val="2"/>
        <scheme val="minor"/>
      </rPr>
      <t xml:space="preserve"> 
Change ▼</t>
    </r>
  </si>
  <si>
    <t>Wide</t>
  </si>
  <si>
    <t>Feet</t>
  </si>
  <si>
    <t>No.</t>
  </si>
  <si>
    <t>Length</t>
  </si>
  <si>
    <t>Height</t>
  </si>
  <si>
    <t>CFT total</t>
  </si>
  <si>
    <t>VAT</t>
  </si>
  <si>
    <t>Sales 
without VAT</t>
  </si>
  <si>
    <t>*E</t>
  </si>
  <si>
    <t>Inch</t>
  </si>
  <si>
    <t>@ Rate</t>
  </si>
  <si>
    <t>Total TK.</t>
  </si>
  <si>
    <t>No. of Vehical</t>
  </si>
  <si>
    <t>CFT</t>
  </si>
  <si>
    <t>with VAT</t>
  </si>
  <si>
    <t>No. of Item</t>
  </si>
  <si>
    <t>Rate</t>
  </si>
  <si>
    <t>Goods QTY</t>
  </si>
  <si>
    <t>Value+VAT</t>
  </si>
  <si>
    <t>Value</t>
  </si>
  <si>
    <t>শ্রীমদ্ভগবদ্গীতার ১৮টি অধ্যায়, প্রতিটি অধ্যায়ের নাম এবং শ্লোক সংখ্যার পূর্ণাঙ্গ তালিকা নিচে সারণী (টেবিল) আকারে দেওয়া হলো। গীতাতে সর্বমোট ৭০০টি শ্লোক রয়েছে।</t>
  </si>
  <si>
    <t xml:space="preserve"> অধ্যায় নং </t>
  </si>
  <si>
    <t xml:space="preserve"> অধ্যায়ের নাম (সংস্কৃত/বাংলা) </t>
  </si>
  <si>
    <t xml:space="preserve"> শ্লোক সংখ্যা </t>
  </si>
  <si>
    <t xml:space="preserve"> প্রধান বিষয়বস্তু </t>
  </si>
  <si>
    <t xml:space="preserve"> --- </t>
  </si>
  <si>
    <t xml:space="preserve"> **১** </t>
  </si>
  <si>
    <t xml:space="preserve"> **অর্জুনবিষাদযোগ** </t>
  </si>
  <si>
    <t xml:space="preserve"> কুরুক্ষেত্র যুদ্ধে স্বজনদের বিরুদ্ধে যুদ্ধ করার বিষয়ে অর্জুনের বিষাদ ও মোহাচ্ছন্নতা। </t>
  </si>
  <si>
    <t xml:space="preserve"> **২** </t>
  </si>
  <si>
    <t xml:space="preserve"> **সাংখ্যযোগ** </t>
  </si>
  <si>
    <t xml:space="preserve"> আত্মার অমরতা, কর্মের তত্ত্ব এবং স্থিতপ্রজ্ঞ ব্যক্তির লক্ষণ। </t>
  </si>
  <si>
    <t xml:space="preserve"> **৩** </t>
  </si>
  <si>
    <t xml:space="preserve"> **কর্মযোগ** </t>
  </si>
  <si>
    <t xml:space="preserve"> ফলের আশা না করে নিষ্কাম কর্ম সম্পাদনের মহিমা। </t>
  </si>
  <si>
    <t xml:space="preserve"> **৪** </t>
  </si>
  <si>
    <t xml:space="preserve"> **জ্ঞানকর্মসংন্যাসযোগ** </t>
  </si>
  <si>
    <t xml:space="preserve"> দিব্য জ্ঞান, অবতারবাদ এবং জ্ঞানের মাধ্যমে কর্ম বন্ধন মোচন। </t>
  </si>
  <si>
    <t xml:space="preserve"> **৫** </t>
  </si>
  <si>
    <t xml:space="preserve"> **কর্মসংন্যাসযোগ** </t>
  </si>
  <si>
    <t xml:space="preserve"> কর্ম ত্যাগ (সংন্যাস) এবং নিষ্কাম কর্মযোগের সমতা ও মূল পার্থক্য। </t>
  </si>
  <si>
    <t xml:space="preserve"> **৬** </t>
  </si>
  <si>
    <t xml:space="preserve"> **আত্মসংযমযোগ (ধ্যানযোগ)** </t>
  </si>
  <si>
    <t xml:space="preserve"> মন নিয়ন্ত্রণ, ধ্যান করার নিয়ম ও যোগাসনের গুরুত্ব। </t>
  </si>
  <si>
    <t xml:space="preserve"> **৭** </t>
  </si>
  <si>
    <t xml:space="preserve"> **জ্ঞানবিজ্ঞানযোগ** </t>
  </si>
  <si>
    <t xml:space="preserve"> ঈশ্বরের পরা ও অপরা প্রকৃতি এবং চার প্রকার ভক্তের বিবরণ। </t>
  </si>
  <si>
    <t xml:space="preserve"> **৮** </t>
  </si>
  <si>
    <t xml:space="preserve"> **অক্ষরব্রহ্মযোগ** </t>
  </si>
  <si>
    <t xml:space="preserve"> অন্তিমকালের চিন্তার প্রভাব, পরাগতি এবং মোক্ষ লাভের উপায়। </t>
  </si>
  <si>
    <t xml:space="preserve"> **৯** </t>
  </si>
  <si>
    <t xml:space="preserve"> **রাজবিদ্যা-রাজগুহ্যযোগ** </t>
  </si>
  <si>
    <t xml:space="preserve"> সর্বোচ্চ পরম জ্ঞান এবং ঈশ্বরের সার্বজনীন রূপ ও অনন্য ভক্তির কথা। </t>
  </si>
  <si>
    <t xml:space="preserve"> **১০** </t>
  </si>
  <si>
    <t xml:space="preserve"> **বিভূতিযোগ** </t>
  </si>
  <si>
    <t xml:space="preserve"> জগৎ জুড়ে পরমেশ্বরের ঐশ্বরিক বিভূতি ও মহিমার বর্ণনা। </t>
  </si>
  <si>
    <t xml:space="preserve"> **১১** </t>
  </si>
  <si>
    <t xml:space="preserve"> **বিশ্বরূপদর্শনযোগ** </t>
  </si>
  <si>
    <t xml:space="preserve"> অর্জুনকে শ্রীকৃষ্ণের পরম ঐশ্বরিক বিশ্বরূপ প্রদর্শন। </t>
  </si>
  <si>
    <t xml:space="preserve"> **১২** </t>
  </si>
  <si>
    <t xml:space="preserve"> **ভক্তিযোগ** </t>
  </si>
  <si>
    <t xml:space="preserve"> সগুণ ও নির্গুণ উপাসনা এবং পরম ভক্তের শ্রেষ্ঠ গুণাবলী। </t>
  </si>
  <si>
    <t xml:space="preserve"> **১৩** </t>
  </si>
  <si>
    <t xml:space="preserve"> **ক্ষেত্র-ক্ষেত্রজ্ঞবিভাগযোগ** </t>
  </si>
  <si>
    <t xml:space="preserve"> দেহ (ক্ষেত্র), আত্মা (ক্ষেত্রজ্ঞ) এবং পরমাত্মার পার্থক্য ও পরিচয়। </t>
  </si>
  <si>
    <t xml:space="preserve"> **১৪** </t>
  </si>
  <si>
    <t xml:space="preserve"> **গুণত্রয়বিভাগযোগ** </t>
  </si>
  <si>
    <t xml:space="preserve"> প্রকৃতির তিন গুণ— সত্ত্ব, রজঃ ও তমঃ গুণ এবং তাদের প্রভাব। </t>
  </si>
  <si>
    <t xml:space="preserve"> **১৫** </t>
  </si>
  <si>
    <t xml:space="preserve"> **পুরুষোত্তমযোগ** </t>
  </si>
  <si>
    <t xml:space="preserve"> সংসাররূপ অশ্বত্থ বৃক্ষের রূপক এবং পরম পুরুষ পুরুষোত্তমের পরিচয়। </t>
  </si>
  <si>
    <t xml:space="preserve"> **১৬** </t>
  </si>
  <si>
    <t xml:space="preserve"> **দৈবাসুরসম্পদ্বিভাগযোগ** </t>
  </si>
  <si>
    <t xml:space="preserve"> মানব চরিত্রের দৈবী (শুভ) এবং আসুরী (অশুভ) সম্পদের পার্থক্য। </t>
  </si>
  <si>
    <t xml:space="preserve"> **১৭** </t>
  </si>
  <si>
    <t xml:space="preserve"> **শ্রদ্ধাত্রয়বিভাগযোগ** </t>
  </si>
  <si>
    <t xml:space="preserve"> তিন গুণের ভিত্তিতে শ্রদ্ধা, আহার, যজ্ঞ, তপস্যা ও দানের প্রকারভেদ। </t>
  </si>
  <si>
    <t xml:space="preserve"> **১৮** </t>
  </si>
  <si>
    <t xml:space="preserve"> **মোক্ষসংন্যাসযোগ** </t>
  </si>
  <si>
    <t xml:space="preserve"> ত্যাগ, মোক্ষ, সনাতন ধর্ম এবং শ্রীকৃষ্ণের চূড়ান্ত শরণাগতির বার্তা। </t>
  </si>
  <si>
    <t xml:space="preserve"> **মোট** </t>
  </si>
  <si>
    <t xml:space="preserve"> **১৮টি অধ্যায়** </t>
  </si>
  <si>
    <t xml:space="preserve"> **৭০০টি** </t>
  </si>
  <si>
    <t xml:space="preserve">  </t>
  </si>
  <si>
    <t>আপনি কি নির্দিষ্ট কোনো অধ্যায়ের মূল শ্লোক বা বিস্তারিত ব্যাখ্যা জানতে চান?</t>
  </si>
  <si>
    <t>জগৎ সংসারে থেকেও, নানা ইচ্ছা-বাসনার মধ্যে থেকেও, নিজের ভেতরের প্রশান্তি অক্ষুণ্ণ রাখা যায়। সমুদ্র কখনো নদীকে প্রবেশ করতে বাধা দেয় না, অথচ নিজের বিশালতায় অবিচল থাকে। তেমনি জ্ঞানী মানুষও জীবনের সব ঢেউকে গ্রহণ করেন, কিন্তু নিজের আত্মিক ভিত্তি হারান না।</t>
  </si>
  <si>
    <t>rd</t>
  </si>
  <si>
    <t>sumon</t>
  </si>
  <si>
    <t>rice</t>
  </si>
  <si>
    <t>cjiron</t>
  </si>
  <si>
    <t>mondir</t>
  </si>
  <si>
    <t xml:space="preserve"> </t>
  </si>
  <si>
    <t>Bkash</t>
  </si>
  <si>
    <t>Medi</t>
  </si>
  <si>
    <t>Sep'26</t>
  </si>
  <si>
    <t>Sumon cash</t>
  </si>
  <si>
    <t>G.total Exp</t>
  </si>
  <si>
    <t>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</si>
</sst>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000_-;\-* #,##0.000_-;_-* &quot;-&quot;??_-;_-@_-"/>
    <numFmt numFmtId="165" formatCode="_-* #,##0.0000_-;\-* #,##0.0000_-;_-* &quot;-&quot;??_-;_-@_-"/>
    <numFmt numFmtId="166" formatCode="0.000%"/>
    <numFmt numFmtId="167" formatCode="_-* #,##0_-;\-* #,##0_-;_-* &quot;-&quot;??_-;_-@_-"/>
    <numFmt numFmtId="168" formatCode="[$-5000445]0"/>
  </numFmts>
  <fonts count="25" x14ac:knownFonts="1">
    <font>
      <sz val="11"/>
      <color theme="1"/>
      <name val="Calibri"/>
      <family val="2"/>
      <scheme val="minor"/>
    </font>
    <font>
      <sz val="10"/>
      <color theme="1"/>
      <name val="Arial"/>
      <family val="2"/>
    </font>
    <font>
      <sz val="11"/>
      <color theme="1"/>
      <name val="Calibri"/>
      <family val="2"/>
      <scheme val="minor"/>
    </font>
    <font>
      <b/>
      <sz val="11"/>
      <color theme="1"/>
      <name val="Calibri"/>
      <family val="2"/>
      <scheme val="minor"/>
    </font>
    <font>
      <b/>
      <sz val="16"/>
      <color rgb="FF0070C0"/>
      <name val="Calibri"/>
      <family val="2"/>
      <scheme val="minor"/>
    </font>
    <font>
      <b/>
      <sz val="16"/>
      <color rgb="FFFF0000"/>
      <name val="Calibri"/>
      <family val="2"/>
      <scheme val="minor"/>
    </font>
    <font>
      <b/>
      <sz val="11"/>
      <color theme="8"/>
      <name val="Calibri"/>
      <family val="2"/>
      <scheme val="minor"/>
    </font>
    <font>
      <b/>
      <sz val="11"/>
      <color theme="8"/>
      <name val="Arial"/>
      <family val="2"/>
    </font>
    <font>
      <b/>
      <sz val="14"/>
      <color rgb="FFFF0000"/>
      <name val="Calibri"/>
      <family val="2"/>
      <scheme val="minor"/>
    </font>
    <font>
      <b/>
      <sz val="14"/>
      <color theme="8"/>
      <name val="Calibri"/>
      <family val="2"/>
      <scheme val="minor"/>
    </font>
    <font>
      <sz val="16"/>
      <color theme="1"/>
      <name val="Calibri"/>
      <family val="2"/>
      <scheme val="minor"/>
    </font>
    <font>
      <b/>
      <sz val="18"/>
      <color theme="1"/>
      <name val="Calibri"/>
      <family val="2"/>
      <scheme val="minor"/>
    </font>
    <font>
      <b/>
      <sz val="18"/>
      <color rgb="FFFF0000"/>
      <name val="Calibri"/>
      <family val="2"/>
      <scheme val="minor"/>
    </font>
    <font>
      <sz val="18"/>
      <color theme="1"/>
      <name val="Calibri"/>
      <family val="2"/>
      <scheme val="minor"/>
    </font>
    <font>
      <b/>
      <sz val="18"/>
      <color theme="8"/>
      <name val="Calibri"/>
      <family val="2"/>
      <scheme val="minor"/>
    </font>
    <font>
      <b/>
      <sz val="24"/>
      <color theme="8"/>
      <name val="Calibri"/>
      <family val="2"/>
      <scheme val="minor"/>
    </font>
    <font>
      <sz val="16"/>
      <color theme="8"/>
      <name val="Calibri"/>
      <family val="2"/>
      <scheme val="minor"/>
    </font>
    <font>
      <sz val="11"/>
      <color rgb="FF7030A0"/>
      <name val="Calibri"/>
      <family val="2"/>
      <scheme val="minor"/>
    </font>
    <font>
      <b/>
      <sz val="11"/>
      <color rgb="FFC00000"/>
      <name val="Calibri"/>
      <family val="2"/>
      <scheme val="minor"/>
    </font>
    <font>
      <b/>
      <sz val="11"/>
      <color rgb="FFFF0000"/>
      <name val="Calibri"/>
      <family val="2"/>
      <scheme val="minor"/>
    </font>
    <font>
      <sz val="10"/>
      <color rgb="FFFF0000"/>
      <name val="Calibri"/>
      <family val="2"/>
      <scheme val="minor"/>
    </font>
    <font>
      <sz val="8"/>
      <color theme="1"/>
      <name val="Calibri"/>
      <family val="2"/>
      <scheme val="minor"/>
    </font>
    <font>
      <sz val="11"/>
      <color rgb="FFFF0000"/>
      <name val="Calibri"/>
      <family val="2"/>
      <scheme val="minor"/>
    </font>
    <font>
      <sz val="14"/>
      <color theme="1"/>
      <name val="Calibri"/>
      <family val="2"/>
      <scheme val="minor"/>
    </font>
    <font>
      <b/>
      <sz val="14"/>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theme="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s>
  <cellStyleXfs count="3">
    <xf numFmtId="0" fontId="0" fillId="0" borderId="0"/>
    <xf numFmtId="43" fontId="2" fillId="0" borderId="0" applyFont="0" applyFill="0" applyBorder="0" applyAlignment="0" applyProtection="0"/>
    <xf numFmtId="0" fontId="1" fillId="0" borderId="0"/>
  </cellStyleXfs>
  <cellXfs count="115">
    <xf numFmtId="0" fontId="0" fillId="0" borderId="0" xfId="0"/>
    <xf numFmtId="0" fontId="0" fillId="2" borderId="1" xfId="0" applyFill="1" applyBorder="1"/>
    <xf numFmtId="0" fontId="0" fillId="0" borderId="0" xfId="0" applyFill="1"/>
    <xf numFmtId="43" fontId="0" fillId="0" borderId="0" xfId="1" applyFont="1"/>
    <xf numFmtId="43" fontId="0" fillId="0" borderId="0" xfId="1" applyFont="1" applyFill="1"/>
    <xf numFmtId="164" fontId="0" fillId="0" borderId="0" xfId="1" applyNumberFormat="1" applyFont="1"/>
    <xf numFmtId="164" fontId="0" fillId="0" borderId="0" xfId="1" applyNumberFormat="1" applyFont="1" applyFill="1"/>
    <xf numFmtId="0" fontId="0" fillId="3" borderId="0" xfId="0" applyFill="1"/>
    <xf numFmtId="0" fontId="0" fillId="3" borderId="1" xfId="0" applyFill="1" applyBorder="1"/>
    <xf numFmtId="0" fontId="0" fillId="4" borderId="0" xfId="0" applyFill="1"/>
    <xf numFmtId="0" fontId="0" fillId="4" borderId="1" xfId="0" applyFill="1" applyBorder="1"/>
    <xf numFmtId="0" fontId="3" fillId="0" borderId="1" xfId="0" applyFont="1" applyBorder="1" applyAlignment="1">
      <alignment horizontal="center" vertical="center"/>
    </xf>
    <xf numFmtId="164" fontId="3" fillId="0" borderId="1" xfId="1" applyNumberFormat="1" applyFont="1" applyBorder="1" applyAlignment="1">
      <alignment horizontal="center" vertical="center"/>
    </xf>
    <xf numFmtId="0" fontId="0" fillId="0" borderId="0" xfId="0" applyAlignment="1">
      <alignment horizontal="center" vertical="center"/>
    </xf>
    <xf numFmtId="9" fontId="0" fillId="0" borderId="0" xfId="0" applyNumberFormat="1" applyAlignment="1">
      <alignment horizontal="center" vertical="center"/>
    </xf>
    <xf numFmtId="0" fontId="3" fillId="0" borderId="0" xfId="0" quotePrefix="1" applyFont="1" applyAlignment="1">
      <alignment horizontal="center" vertical="center"/>
    </xf>
    <xf numFmtId="0" fontId="3" fillId="0" borderId="0" xfId="0" applyFont="1" applyAlignment="1">
      <alignment horizontal="center" vertical="center"/>
    </xf>
    <xf numFmtId="164" fontId="0" fillId="0" borderId="0" xfId="1" applyNumberFormat="1" applyFont="1" applyAlignment="1">
      <alignment horizontal="center" vertical="center"/>
    </xf>
    <xf numFmtId="0" fontId="4" fillId="5" borderId="0" xfId="0" applyFont="1" applyFill="1" applyAlignment="1">
      <alignment horizontal="left" vertical="center"/>
    </xf>
    <xf numFmtId="0" fontId="6" fillId="0" borderId="1" xfId="0" applyFont="1" applyBorder="1" applyAlignment="1">
      <alignment horizontal="center" vertical="center" wrapText="1"/>
    </xf>
    <xf numFmtId="0" fontId="0" fillId="0" borderId="1" xfId="0" applyBorder="1" applyAlignment="1" applyProtection="1">
      <alignment horizontal="center" vertical="center"/>
      <protection hidden="1"/>
    </xf>
    <xf numFmtId="166" fontId="3" fillId="0" borderId="1" xfId="1"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locked="0"/>
    </xf>
    <xf numFmtId="9" fontId="3" fillId="0" borderId="1" xfId="0" applyNumberFormat="1" applyFont="1" applyBorder="1" applyAlignment="1" applyProtection="1">
      <alignment horizontal="center" vertical="center"/>
      <protection locked="0"/>
    </xf>
    <xf numFmtId="10" fontId="3" fillId="0" borderId="1" xfId="1" applyNumberFormat="1" applyFont="1" applyBorder="1" applyAlignment="1" applyProtection="1">
      <alignment horizontal="center" vertical="center"/>
      <protection locked="0"/>
    </xf>
    <xf numFmtId="9" fontId="11" fillId="0" borderId="1" xfId="0" applyNumberFormat="1" applyFont="1" applyBorder="1" applyAlignment="1" applyProtection="1">
      <alignment horizontal="center" vertical="center"/>
    </xf>
    <xf numFmtId="166" fontId="11" fillId="0" borderId="1" xfId="1" applyNumberFormat="1" applyFont="1" applyBorder="1" applyAlignment="1" applyProtection="1">
      <alignment horizontal="center" vertical="center"/>
    </xf>
    <xf numFmtId="43" fontId="12" fillId="6" borderId="1" xfId="1" applyFont="1" applyFill="1" applyBorder="1" applyAlignment="1" applyProtection="1">
      <alignment horizontal="center" vertical="center"/>
      <protection locked="0"/>
    </xf>
    <xf numFmtId="0" fontId="13" fillId="0" borderId="0" xfId="0" applyFont="1" applyAlignment="1">
      <alignment horizontal="center" vertical="center"/>
    </xf>
    <xf numFmtId="10" fontId="11" fillId="0" borderId="1" xfId="1" applyNumberFormat="1" applyFont="1" applyBorder="1" applyAlignment="1" applyProtection="1">
      <alignment horizontal="center" vertical="center"/>
    </xf>
    <xf numFmtId="9" fontId="11" fillId="5" borderId="1" xfId="0" applyNumberFormat="1" applyFont="1" applyFill="1" applyBorder="1" applyAlignment="1" applyProtection="1">
      <alignment horizontal="center" vertical="center"/>
    </xf>
    <xf numFmtId="166" fontId="11" fillId="5" borderId="1" xfId="1" applyNumberFormat="1" applyFont="1" applyFill="1" applyBorder="1" applyAlignment="1" applyProtection="1">
      <alignment horizontal="center" vertical="center"/>
    </xf>
    <xf numFmtId="43" fontId="14" fillId="5" borderId="1" xfId="1" applyFont="1" applyFill="1" applyBorder="1" applyAlignment="1" applyProtection="1">
      <alignment horizontal="center" vertical="center"/>
      <protection locked="0"/>
    </xf>
    <xf numFmtId="0" fontId="6" fillId="0" borderId="1" xfId="0" applyFont="1" applyFill="1" applyBorder="1" applyAlignment="1" applyProtection="1">
      <alignment horizontal="center" vertical="center" wrapText="1"/>
    </xf>
    <xf numFmtId="164" fontId="6" fillId="0" borderId="1" xfId="1" applyNumberFormat="1" applyFont="1" applyFill="1" applyBorder="1" applyAlignment="1" applyProtection="1">
      <alignment horizontal="center" vertical="center"/>
    </xf>
    <xf numFmtId="0" fontId="9" fillId="7" borderId="1" xfId="0" applyFont="1" applyFill="1" applyBorder="1" applyAlignment="1" applyProtection="1">
      <alignment horizontal="center" vertical="center" wrapText="1"/>
    </xf>
    <xf numFmtId="43" fontId="10" fillId="0" borderId="0" xfId="1" applyFont="1" applyAlignment="1">
      <alignment horizontal="center" vertical="center"/>
    </xf>
    <xf numFmtId="0" fontId="13" fillId="0" borderId="0" xfId="0" applyFont="1" applyAlignment="1" applyProtection="1">
      <alignment horizontal="center" vertical="center"/>
      <protection locked="0"/>
    </xf>
    <xf numFmtId="43" fontId="3" fillId="0" borderId="2" xfId="1" applyFont="1" applyBorder="1"/>
    <xf numFmtId="43" fontId="13" fillId="0" borderId="0" xfId="0" applyNumberFormat="1" applyFont="1" applyAlignment="1">
      <alignment horizontal="center" vertical="center"/>
    </xf>
    <xf numFmtId="0" fontId="9" fillId="0" borderId="1" xfId="0" applyFont="1" applyFill="1" applyBorder="1" applyAlignment="1" applyProtection="1">
      <alignment horizontal="center" vertical="center" wrapText="1"/>
    </xf>
    <xf numFmtId="0" fontId="15" fillId="0" borderId="0" xfId="0" applyFont="1" applyAlignment="1">
      <alignment horizontal="center" vertical="center"/>
    </xf>
    <xf numFmtId="43" fontId="16" fillId="0" borderId="0" xfId="1" quotePrefix="1" applyFont="1" applyAlignment="1">
      <alignment horizontal="center" vertical="center"/>
    </xf>
    <xf numFmtId="0" fontId="13" fillId="0" borderId="0" xfId="0" applyFont="1" applyAlignment="1">
      <alignment vertical="center"/>
    </xf>
    <xf numFmtId="43" fontId="13" fillId="0" borderId="0" xfId="1" applyFont="1" applyAlignment="1">
      <alignment vertical="center"/>
    </xf>
    <xf numFmtId="0" fontId="13" fillId="0" borderId="1" xfId="0" applyFont="1" applyBorder="1" applyAlignment="1">
      <alignment vertical="center"/>
    </xf>
    <xf numFmtId="43" fontId="13" fillId="0" borderId="1" xfId="1" applyFont="1" applyBorder="1" applyAlignment="1">
      <alignment vertical="center"/>
    </xf>
    <xf numFmtId="43" fontId="11" fillId="0" borderId="1" xfId="1" applyFont="1" applyBorder="1" applyAlignment="1">
      <alignment vertical="center"/>
    </xf>
    <xf numFmtId="0" fontId="17" fillId="4" borderId="1" xfId="0" applyFont="1" applyFill="1" applyBorder="1" applyAlignment="1">
      <alignment horizontal="center" vertical="center"/>
    </xf>
    <xf numFmtId="0" fontId="0" fillId="8" borderId="1" xfId="0" applyFill="1" applyBorder="1" applyAlignment="1">
      <alignment horizontal="center" vertical="center"/>
    </xf>
    <xf numFmtId="164" fontId="0" fillId="8" borderId="1" xfId="1" applyNumberFormat="1" applyFont="1" applyFill="1" applyBorder="1" applyAlignment="1">
      <alignment horizontal="center" vertical="center"/>
    </xf>
    <xf numFmtId="167" fontId="0" fillId="8" borderId="1" xfId="1" applyNumberFormat="1" applyFont="1" applyFill="1" applyBorder="1" applyAlignment="1">
      <alignment horizontal="center" vertical="center"/>
    </xf>
    <xf numFmtId="165" fontId="0" fillId="0" borderId="0" xfId="1" applyNumberFormat="1" applyFont="1" applyAlignment="1">
      <alignment horizontal="center" vertical="center"/>
    </xf>
    <xf numFmtId="0" fontId="0" fillId="0" borderId="0" xfId="0" applyFill="1" applyAlignment="1">
      <alignment horizontal="center" vertical="center"/>
    </xf>
    <xf numFmtId="43" fontId="0" fillId="0" borderId="0" xfId="1" applyFont="1" applyFill="1" applyAlignment="1">
      <alignment horizontal="center" vertical="center"/>
    </xf>
    <xf numFmtId="43" fontId="0" fillId="0" borderId="0" xfId="1" applyFont="1" applyAlignment="1">
      <alignment horizontal="center" vertical="center"/>
    </xf>
    <xf numFmtId="43" fontId="3" fillId="0" borderId="2" xfId="1"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right" vertical="center"/>
    </xf>
    <xf numFmtId="0" fontId="17" fillId="0" borderId="4" xfId="0" applyFont="1" applyFill="1" applyBorder="1" applyAlignment="1">
      <alignment horizontal="right" vertical="center"/>
    </xf>
    <xf numFmtId="0" fontId="20" fillId="0" borderId="1" xfId="0" applyFont="1" applyFill="1" applyBorder="1" applyAlignment="1">
      <alignment horizontal="center" vertical="center"/>
    </xf>
    <xf numFmtId="43" fontId="0" fillId="0" borderId="6" xfId="1" applyFont="1" applyFill="1" applyBorder="1" applyAlignment="1">
      <alignment horizontal="left" vertical="center"/>
    </xf>
    <xf numFmtId="43" fontId="0" fillId="0" borderId="3" xfId="1" applyFont="1" applyFill="1" applyBorder="1" applyAlignment="1">
      <alignment horizontal="left" vertical="center"/>
    </xf>
    <xf numFmtId="43" fontId="19" fillId="5" borderId="1" xfId="1" applyFont="1" applyFill="1" applyBorder="1" applyAlignment="1">
      <alignment horizontal="center" vertical="center"/>
    </xf>
    <xf numFmtId="43" fontId="19" fillId="5" borderId="1" xfId="1" applyFont="1" applyFill="1" applyBorder="1"/>
    <xf numFmtId="0" fontId="3" fillId="5" borderId="1" xfId="0" quotePrefix="1" applyFont="1" applyFill="1" applyBorder="1"/>
    <xf numFmtId="0" fontId="3" fillId="5" borderId="1" xfId="0" applyFont="1" applyFill="1" applyBorder="1"/>
    <xf numFmtId="0" fontId="17" fillId="0" borderId="5" xfId="0" applyFont="1" applyFill="1" applyBorder="1" applyAlignment="1">
      <alignment horizontal="center" vertical="center"/>
    </xf>
    <xf numFmtId="165" fontId="21" fillId="0" borderId="0" xfId="1" applyNumberFormat="1" applyFont="1" applyFill="1" applyAlignment="1">
      <alignment horizontal="center" vertical="center"/>
    </xf>
    <xf numFmtId="0" fontId="0" fillId="0" borderId="1" xfId="0" applyFill="1" applyBorder="1" applyAlignment="1" applyProtection="1">
      <alignment horizontal="center" vertical="center"/>
      <protection locked="0"/>
    </xf>
    <xf numFmtId="0" fontId="0" fillId="5" borderId="1" xfId="0" applyFont="1" applyFill="1" applyBorder="1" applyProtection="1">
      <protection locked="0"/>
    </xf>
    <xf numFmtId="0" fontId="19" fillId="0" borderId="0" xfId="0" applyFont="1" applyFill="1" applyAlignment="1"/>
    <xf numFmtId="0" fontId="3" fillId="5" borderId="5" xfId="0" applyFont="1" applyFill="1" applyBorder="1"/>
    <xf numFmtId="167" fontId="3" fillId="5" borderId="6" xfId="0" applyNumberFormat="1" applyFont="1" applyFill="1" applyBorder="1"/>
    <xf numFmtId="167" fontId="3" fillId="5" borderId="7" xfId="0" applyNumberFormat="1" applyFont="1" applyFill="1" applyBorder="1"/>
    <xf numFmtId="9" fontId="13" fillId="9" borderId="1" xfId="1" applyNumberFormat="1" applyFont="1" applyFill="1" applyBorder="1" applyAlignment="1">
      <alignment vertical="center"/>
    </xf>
    <xf numFmtId="43" fontId="13" fillId="9" borderId="1" xfId="1" applyFont="1" applyFill="1" applyBorder="1" applyAlignment="1">
      <alignment vertical="center"/>
    </xf>
    <xf numFmtId="9" fontId="13" fillId="10" borderId="1" xfId="1" applyNumberFormat="1" applyFont="1" applyFill="1" applyBorder="1" applyAlignment="1">
      <alignment vertical="center"/>
    </xf>
    <xf numFmtId="43" fontId="13" fillId="10" borderId="1" xfId="1" applyFont="1" applyFill="1" applyBorder="1" applyAlignment="1">
      <alignment vertical="center"/>
    </xf>
    <xf numFmtId="9" fontId="13" fillId="11" borderId="1" xfId="1" applyNumberFormat="1" applyFont="1" applyFill="1" applyBorder="1" applyAlignment="1">
      <alignment vertical="center"/>
    </xf>
    <xf numFmtId="43" fontId="13" fillId="11" borderId="1" xfId="1" applyFont="1" applyFill="1" applyBorder="1" applyAlignment="1">
      <alignment vertical="center"/>
    </xf>
    <xf numFmtId="9" fontId="13" fillId="8" borderId="1" xfId="1" applyNumberFormat="1" applyFont="1" applyFill="1" applyBorder="1" applyAlignment="1">
      <alignment vertical="center"/>
    </xf>
    <xf numFmtId="43" fontId="13" fillId="8" borderId="1" xfId="1" applyFont="1" applyFill="1" applyBorder="1" applyAlignment="1">
      <alignment vertical="center"/>
    </xf>
    <xf numFmtId="0" fontId="21" fillId="0" borderId="0" xfId="0" applyFont="1" applyAlignment="1">
      <alignment horizontal="center" vertical="center"/>
    </xf>
    <xf numFmtId="43" fontId="21" fillId="0" borderId="0" xfId="1" applyFont="1" applyAlignment="1">
      <alignment horizontal="center" vertical="center"/>
    </xf>
    <xf numFmtId="43" fontId="13" fillId="0" borderId="1" xfId="1" applyFont="1" applyBorder="1" applyAlignment="1" applyProtection="1">
      <alignment vertical="center"/>
      <protection locked="0"/>
    </xf>
    <xf numFmtId="0" fontId="1" fillId="0" borderId="0" xfId="2"/>
    <xf numFmtId="168" fontId="1" fillId="0" borderId="0" xfId="2" applyNumberFormat="1"/>
    <xf numFmtId="0" fontId="19" fillId="2" borderId="1" xfId="0" quotePrefix="1" applyFont="1" applyFill="1" applyBorder="1"/>
    <xf numFmtId="0" fontId="22" fillId="2" borderId="1" xfId="0" applyFont="1" applyFill="1" applyBorder="1" applyProtection="1">
      <protection locked="0"/>
    </xf>
    <xf numFmtId="0" fontId="0" fillId="5" borderId="0" xfId="0" applyFill="1"/>
    <xf numFmtId="0" fontId="1" fillId="5" borderId="0" xfId="2" applyFill="1"/>
    <xf numFmtId="43" fontId="23" fillId="0" borderId="0" xfId="1" applyFont="1"/>
    <xf numFmtId="0" fontId="23" fillId="0" borderId="0" xfId="0" applyFont="1"/>
    <xf numFmtId="14" fontId="0" fillId="0" borderId="0" xfId="0" applyNumberFormat="1"/>
    <xf numFmtId="0" fontId="3" fillId="0" borderId="0" xfId="0" applyFont="1"/>
    <xf numFmtId="0" fontId="18" fillId="0" borderId="1" xfId="0" applyFont="1" applyFill="1" applyBorder="1" applyAlignment="1">
      <alignment horizontal="left" vertical="center"/>
    </xf>
    <xf numFmtId="167" fontId="23" fillId="0" borderId="0" xfId="1" applyNumberFormat="1" applyFont="1"/>
    <xf numFmtId="167" fontId="23" fillId="5" borderId="0" xfId="1" applyNumberFormat="1" applyFont="1" applyFill="1"/>
    <xf numFmtId="167" fontId="23" fillId="0" borderId="0" xfId="0" applyNumberFormat="1" applyFont="1"/>
    <xf numFmtId="167" fontId="0" fillId="0" borderId="0" xfId="0" applyNumberFormat="1"/>
    <xf numFmtId="167" fontId="23" fillId="12" borderId="0" xfId="0" applyNumberFormat="1" applyFont="1" applyFill="1"/>
    <xf numFmtId="43" fontId="23" fillId="0" borderId="0" xfId="0" applyNumberFormat="1" applyFont="1"/>
    <xf numFmtId="167" fontId="24" fillId="0" borderId="2" xfId="0" applyNumberFormat="1" applyFont="1" applyBorder="1"/>
    <xf numFmtId="43" fontId="0" fillId="5" borderId="0" xfId="1" applyFont="1" applyFill="1"/>
    <xf numFmtId="0" fontId="18" fillId="0" borderId="1" xfId="0" applyFont="1" applyFill="1" applyBorder="1" applyAlignment="1">
      <alignment horizontal="left" vertical="center"/>
    </xf>
    <xf numFmtId="0" fontId="18" fillId="0" borderId="4" xfId="0" applyFont="1" applyFill="1" applyBorder="1" applyAlignment="1">
      <alignment horizontal="left" vertical="center"/>
    </xf>
    <xf numFmtId="0" fontId="3" fillId="4" borderId="1" xfId="0" applyFont="1" applyFill="1" applyBorder="1" applyAlignment="1">
      <alignment horizontal="center"/>
    </xf>
    <xf numFmtId="0" fontId="3" fillId="3" borderId="1" xfId="0" applyFont="1" applyFill="1" applyBorder="1" applyAlignment="1">
      <alignment horizontal="center"/>
    </xf>
    <xf numFmtId="0" fontId="3" fillId="2" borderId="1" xfId="0" applyFont="1" applyFill="1" applyBorder="1" applyAlignment="1">
      <alignment horizontal="center"/>
    </xf>
    <xf numFmtId="43" fontId="1" fillId="0" borderId="0" xfId="1" applyFont="1"/>
    <xf numFmtId="43" fontId="1" fillId="0" borderId="0" xfId="2" applyNumberFormat="1"/>
    <xf numFmtId="0" fontId="1" fillId="13" borderId="0" xfId="2" applyFill="1"/>
    <xf numFmtId="0" fontId="3" fillId="0" borderId="2" xfId="0" applyFont="1" applyFill="1" applyBorder="1"/>
    <xf numFmtId="43" fontId="3" fillId="13" borderId="2" xfId="1" applyFont="1" applyFill="1" applyBorder="1"/>
  </cellXfs>
  <cellStyles count="3">
    <cellStyle name="Comma" xfId="1" builtinId="3"/>
    <cellStyle name="Normal" xfId="0" builtinId="0"/>
    <cellStyle name="Normal 2" xfId="2" xr:uid="{C3CA4592-A998-4C8B-A480-37139211FEAC}"/>
  </cellStyles>
  <dxfs count="7">
    <dxf>
      <font>
        <color rgb="FF9C0006"/>
      </font>
      <fill>
        <patternFill>
          <bgColor rgb="FFFFC7CE"/>
        </patternFill>
      </fill>
    </dxf>
    <dxf>
      <fill>
        <patternFill patternType="lightGray">
          <bgColor theme="5"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s>
  <tableStyles count="4" defaultTableStyle="Table Style 4" defaultPivotStyle="PivotStyleLight16">
    <tableStyle name="Table Style 1" pivot="0" count="1" xr9:uid="{28C2AEEA-255E-41F9-B0E3-84B95D021A2C}">
      <tableStyleElement type="wholeTable" dxfId="6"/>
    </tableStyle>
    <tableStyle name="Table Style 2" pivot="0" count="2" xr9:uid="{C2A7490A-70A1-4116-80B3-C5FB2E58F4F1}">
      <tableStyleElement type="firstColumnStripe" dxfId="5"/>
      <tableStyleElement type="secondColumnStripe" dxfId="4"/>
    </tableStyle>
    <tableStyle name="Table Style 3" pivot="0" count="2" xr9:uid="{1ED45868-BF28-42E5-84C3-3F62982B6EBB}">
      <tableStyleElement type="firstColumnStripe" dxfId="3"/>
      <tableStyleElement type="secondColumnStripe" dxfId="2"/>
    </tableStyle>
    <tableStyle name="Table Style 4" pivot="0" count="1" xr9:uid="{34B7E0C0-06BA-4D47-BE77-96659B6FA0B8}">
      <tableStyleElement type="first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9AFFD-A062-49F9-A78D-513204C53E97}">
  <dimension ref="A1:N48"/>
  <sheetViews>
    <sheetView tabSelected="1" topLeftCell="A33" zoomScale="130" zoomScaleNormal="130" workbookViewId="0">
      <selection activeCell="D47" sqref="D47"/>
    </sheetView>
  </sheetViews>
  <sheetFormatPr defaultRowHeight="12.75" x14ac:dyDescent="0.2"/>
  <cols>
    <col min="1" max="2" width="9.140625" style="86"/>
    <col min="3" max="3" width="26.42578125" style="86" bestFit="1" customWidth="1"/>
    <col min="4" max="4" width="11.28515625" style="86" bestFit="1" customWidth="1"/>
    <col min="5" max="5" width="67.5703125" style="86" bestFit="1" customWidth="1"/>
    <col min="6" max="16384" width="9.140625" style="86"/>
  </cols>
  <sheetData>
    <row r="1" spans="1:5" x14ac:dyDescent="0.2">
      <c r="A1" s="86" t="s">
        <v>28</v>
      </c>
    </row>
    <row r="3" spans="1:5" x14ac:dyDescent="0.2">
      <c r="B3" s="86" t="s">
        <v>29</v>
      </c>
      <c r="C3" s="86" t="s">
        <v>30</v>
      </c>
      <c r="D3" s="86" t="s">
        <v>31</v>
      </c>
      <c r="E3" s="86" t="s">
        <v>32</v>
      </c>
    </row>
    <row r="4" spans="1:5" x14ac:dyDescent="0.2">
      <c r="B4" s="86" t="s">
        <v>33</v>
      </c>
      <c r="C4" s="86" t="s">
        <v>33</v>
      </c>
      <c r="D4" s="86" t="s">
        <v>33</v>
      </c>
      <c r="E4" s="86" t="s">
        <v>33</v>
      </c>
    </row>
    <row r="5" spans="1:5" x14ac:dyDescent="0.2">
      <c r="B5" s="86" t="s">
        <v>34</v>
      </c>
      <c r="C5" s="86" t="s">
        <v>35</v>
      </c>
      <c r="D5" s="87">
        <v>47</v>
      </c>
      <c r="E5" s="86" t="s">
        <v>36</v>
      </c>
    </row>
    <row r="6" spans="1:5" x14ac:dyDescent="0.2">
      <c r="B6" s="86" t="s">
        <v>37</v>
      </c>
      <c r="C6" s="86" t="s">
        <v>38</v>
      </c>
      <c r="D6" s="87">
        <v>72</v>
      </c>
      <c r="E6" s="86" t="s">
        <v>39</v>
      </c>
    </row>
    <row r="7" spans="1:5" x14ac:dyDescent="0.2">
      <c r="B7" s="86" t="s">
        <v>40</v>
      </c>
      <c r="C7" s="86" t="s">
        <v>41</v>
      </c>
      <c r="D7" s="87">
        <v>43</v>
      </c>
      <c r="E7" s="86" t="s">
        <v>42</v>
      </c>
    </row>
    <row r="8" spans="1:5" x14ac:dyDescent="0.2">
      <c r="B8" s="86" t="s">
        <v>43</v>
      </c>
      <c r="C8" s="86" t="s">
        <v>44</v>
      </c>
      <c r="D8" s="87">
        <v>42</v>
      </c>
      <c r="E8" s="86" t="s">
        <v>45</v>
      </c>
    </row>
    <row r="9" spans="1:5" x14ac:dyDescent="0.2">
      <c r="B9" s="86" t="s">
        <v>46</v>
      </c>
      <c r="C9" s="86" t="s">
        <v>47</v>
      </c>
      <c r="D9" s="87">
        <v>29</v>
      </c>
      <c r="E9" s="86" t="s">
        <v>48</v>
      </c>
    </row>
    <row r="10" spans="1:5" x14ac:dyDescent="0.2">
      <c r="B10" s="86" t="s">
        <v>49</v>
      </c>
      <c r="C10" s="86" t="s">
        <v>50</v>
      </c>
      <c r="D10" s="87">
        <v>47</v>
      </c>
      <c r="E10" s="86" t="s">
        <v>51</v>
      </c>
    </row>
    <row r="11" spans="1:5" x14ac:dyDescent="0.2">
      <c r="B11" s="86" t="s">
        <v>52</v>
      </c>
      <c r="C11" s="86" t="s">
        <v>53</v>
      </c>
      <c r="D11" s="87">
        <v>30</v>
      </c>
      <c r="E11" s="86" t="s">
        <v>54</v>
      </c>
    </row>
    <row r="12" spans="1:5" x14ac:dyDescent="0.2">
      <c r="B12" s="86" t="s">
        <v>55</v>
      </c>
      <c r="C12" s="86" t="s">
        <v>56</v>
      </c>
      <c r="D12" s="87">
        <v>28</v>
      </c>
      <c r="E12" s="86" t="s">
        <v>57</v>
      </c>
    </row>
    <row r="13" spans="1:5" x14ac:dyDescent="0.2">
      <c r="B13" s="86" t="s">
        <v>58</v>
      </c>
      <c r="C13" s="86" t="s">
        <v>59</v>
      </c>
      <c r="D13" s="87">
        <v>34</v>
      </c>
      <c r="E13" s="86" t="s">
        <v>60</v>
      </c>
    </row>
    <row r="14" spans="1:5" x14ac:dyDescent="0.2">
      <c r="B14" s="86" t="s">
        <v>61</v>
      </c>
      <c r="C14" s="86" t="s">
        <v>62</v>
      </c>
      <c r="D14" s="87">
        <v>42</v>
      </c>
      <c r="E14" s="86" t="s">
        <v>63</v>
      </c>
    </row>
    <row r="15" spans="1:5" x14ac:dyDescent="0.2">
      <c r="B15" s="86" t="s">
        <v>64</v>
      </c>
      <c r="C15" s="86" t="s">
        <v>65</v>
      </c>
      <c r="D15" s="87">
        <v>55</v>
      </c>
      <c r="E15" s="86" t="s">
        <v>66</v>
      </c>
    </row>
    <row r="16" spans="1:5" x14ac:dyDescent="0.2">
      <c r="B16" s="86" t="s">
        <v>67</v>
      </c>
      <c r="C16" s="86" t="s">
        <v>68</v>
      </c>
      <c r="D16" s="87">
        <v>20</v>
      </c>
      <c r="E16" s="86" t="s">
        <v>69</v>
      </c>
    </row>
    <row r="17" spans="1:14" x14ac:dyDescent="0.2">
      <c r="B17" s="86" t="s">
        <v>70</v>
      </c>
      <c r="C17" s="86" t="s">
        <v>71</v>
      </c>
      <c r="D17" s="87">
        <v>35</v>
      </c>
      <c r="E17" s="86" t="s">
        <v>72</v>
      </c>
    </row>
    <row r="18" spans="1:14" x14ac:dyDescent="0.2">
      <c r="B18" s="86" t="s">
        <v>73</v>
      </c>
      <c r="C18" s="86" t="s">
        <v>74</v>
      </c>
      <c r="D18" s="87">
        <v>27</v>
      </c>
      <c r="E18" s="86" t="s">
        <v>75</v>
      </c>
    </row>
    <row r="19" spans="1:14" x14ac:dyDescent="0.2">
      <c r="B19" s="86" t="s">
        <v>76</v>
      </c>
      <c r="C19" s="86" t="s">
        <v>77</v>
      </c>
      <c r="D19" s="87">
        <v>20</v>
      </c>
      <c r="E19" s="86" t="s">
        <v>78</v>
      </c>
    </row>
    <row r="20" spans="1:14" x14ac:dyDescent="0.2">
      <c r="B20" s="86" t="s">
        <v>79</v>
      </c>
      <c r="C20" s="86" t="s">
        <v>80</v>
      </c>
      <c r="D20" s="87">
        <v>24</v>
      </c>
      <c r="E20" s="86" t="s">
        <v>81</v>
      </c>
    </row>
    <row r="21" spans="1:14" x14ac:dyDescent="0.2">
      <c r="B21" s="86" t="s">
        <v>82</v>
      </c>
      <c r="C21" s="86" t="s">
        <v>83</v>
      </c>
      <c r="D21" s="87">
        <v>28</v>
      </c>
      <c r="E21" s="86" t="s">
        <v>84</v>
      </c>
    </row>
    <row r="22" spans="1:14" x14ac:dyDescent="0.2">
      <c r="B22" s="86" t="s">
        <v>85</v>
      </c>
      <c r="C22" s="86" t="s">
        <v>86</v>
      </c>
      <c r="D22" s="87">
        <v>78</v>
      </c>
      <c r="E22" s="86" t="s">
        <v>87</v>
      </c>
    </row>
    <row r="23" spans="1:14" x14ac:dyDescent="0.2">
      <c r="B23" s="86" t="s">
        <v>88</v>
      </c>
      <c r="C23" s="86" t="s">
        <v>89</v>
      </c>
      <c r="D23" s="86" t="s">
        <v>90</v>
      </c>
      <c r="E23" s="86" t="s">
        <v>91</v>
      </c>
    </row>
    <row r="25" spans="1:14" x14ac:dyDescent="0.2">
      <c r="A25" s="86" t="s">
        <v>92</v>
      </c>
    </row>
    <row r="26" spans="1:14" ht="15" x14ac:dyDescent="0.25">
      <c r="A26" s="90" t="s">
        <v>93</v>
      </c>
      <c r="B26" s="91"/>
      <c r="C26" s="91"/>
      <c r="D26" s="91"/>
      <c r="E26" s="91"/>
    </row>
    <row r="32" spans="1:14" x14ac:dyDescent="0.2">
      <c r="C32" s="86">
        <v>164.53125</v>
      </c>
      <c r="D32" s="86">
        <v>161.3671875</v>
      </c>
      <c r="E32" s="86">
        <v>161.3671875</v>
      </c>
      <c r="F32" s="86">
        <v>164.53125</v>
      </c>
      <c r="G32" s="86">
        <v>158.203125</v>
      </c>
      <c r="H32" s="86">
        <v>158.203125</v>
      </c>
      <c r="I32" s="86">
        <v>156.09027777777777</v>
      </c>
      <c r="J32" s="86">
        <v>161.3671875</v>
      </c>
      <c r="K32" s="86">
        <v>150.08680555555557</v>
      </c>
      <c r="L32" s="86">
        <v>167.6953125</v>
      </c>
      <c r="M32" s="86">
        <v>150.08680555555557</v>
      </c>
      <c r="N32" s="86">
        <v>150.08680555555557</v>
      </c>
    </row>
    <row r="36" spans="3:4" x14ac:dyDescent="0.2">
      <c r="C36" s="110">
        <v>164.53125</v>
      </c>
      <c r="D36" s="91">
        <v>164.78</v>
      </c>
    </row>
    <row r="37" spans="3:4" x14ac:dyDescent="0.2">
      <c r="C37" s="110">
        <v>161.3671875</v>
      </c>
      <c r="D37" s="91">
        <v>160.97999999999999</v>
      </c>
    </row>
    <row r="38" spans="3:4" x14ac:dyDescent="0.2">
      <c r="C38" s="110">
        <v>161.3671875</v>
      </c>
      <c r="D38" s="91">
        <v>160.97999999999999</v>
      </c>
    </row>
    <row r="39" spans="3:4" x14ac:dyDescent="0.2">
      <c r="C39" s="110">
        <v>164.53125</v>
      </c>
      <c r="D39" s="91">
        <v>164.78</v>
      </c>
    </row>
    <row r="40" spans="3:4" x14ac:dyDescent="0.2">
      <c r="C40" s="110">
        <v>158.203125</v>
      </c>
      <c r="D40" s="112">
        <v>157.94999999999999</v>
      </c>
    </row>
    <row r="41" spans="3:4" x14ac:dyDescent="0.2">
      <c r="C41" s="110">
        <v>158.203125</v>
      </c>
      <c r="D41" s="112">
        <v>157.94999999999999</v>
      </c>
    </row>
    <row r="42" spans="3:4" x14ac:dyDescent="0.2">
      <c r="C42" s="110">
        <v>156.09027777777777</v>
      </c>
      <c r="D42" s="112">
        <v>156.28</v>
      </c>
    </row>
    <row r="43" spans="3:4" x14ac:dyDescent="0.2">
      <c r="C43" s="110">
        <v>161.3671875</v>
      </c>
      <c r="D43" s="112">
        <v>160.97999999999999</v>
      </c>
    </row>
    <row r="44" spans="3:4" x14ac:dyDescent="0.2">
      <c r="C44" s="110">
        <v>150.08680555555557</v>
      </c>
      <c r="D44" s="86">
        <v>149.80000000000001</v>
      </c>
    </row>
    <row r="45" spans="3:4" x14ac:dyDescent="0.2">
      <c r="C45" s="110">
        <v>167.6953125</v>
      </c>
      <c r="D45" s="86">
        <v>167.82</v>
      </c>
    </row>
    <row r="46" spans="3:4" x14ac:dyDescent="0.2">
      <c r="C46" s="110">
        <v>150.08680555555557</v>
      </c>
      <c r="D46" s="86">
        <v>149.80000000000001</v>
      </c>
    </row>
    <row r="47" spans="3:4" x14ac:dyDescent="0.2">
      <c r="C47" s="110"/>
      <c r="D47" s="86">
        <f>SUM(D36:D46)</f>
        <v>1752.1</v>
      </c>
    </row>
    <row r="48" spans="3:4" x14ac:dyDescent="0.2">
      <c r="C48" s="111">
        <f>SUM(C36:C47)</f>
        <v>1753.5295138888891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F484C-0552-4921-8742-B62DFCA8E756}">
  <dimension ref="A1:F10"/>
  <sheetViews>
    <sheetView zoomScale="130" zoomScaleNormal="130" workbookViewId="0">
      <selection activeCell="D6" sqref="D6"/>
    </sheetView>
  </sheetViews>
  <sheetFormatPr defaultRowHeight="23.25" x14ac:dyDescent="0.25"/>
  <cols>
    <col min="1" max="1" width="15.7109375" style="43" customWidth="1"/>
    <col min="2" max="4" width="24.28515625" style="44" customWidth="1"/>
    <col min="5" max="5" width="23.28515625" style="44" customWidth="1"/>
    <col min="6" max="6" width="18.42578125" style="44" customWidth="1"/>
    <col min="7" max="16384" width="9.140625" style="43"/>
  </cols>
  <sheetData>
    <row r="1" spans="1:6" s="83" customFormat="1" ht="11.25" x14ac:dyDescent="0.25">
      <c r="B1" s="84" t="s">
        <v>26</v>
      </c>
      <c r="C1" s="84" t="s">
        <v>27</v>
      </c>
      <c r="D1" s="84" t="s">
        <v>14</v>
      </c>
      <c r="E1" s="84"/>
      <c r="F1" s="84"/>
    </row>
    <row r="2" spans="1:6" x14ac:dyDescent="0.25">
      <c r="A2" s="77">
        <v>0.15</v>
      </c>
      <c r="B2" s="78">
        <f>$C$6+D2</f>
        <v>62560</v>
      </c>
      <c r="C2" s="78">
        <f>B5*B6</f>
        <v>54400</v>
      </c>
      <c r="D2" s="78">
        <f>$C$6*B7</f>
        <v>8160</v>
      </c>
    </row>
    <row r="3" spans="1:6" x14ac:dyDescent="0.25">
      <c r="A3" s="75">
        <v>0.1</v>
      </c>
      <c r="B3" s="76">
        <f>$C$6+D3</f>
        <v>59840</v>
      </c>
      <c r="C3" s="76">
        <f>B5*B6</f>
        <v>54400</v>
      </c>
      <c r="D3" s="76">
        <f>$C$6*B8</f>
        <v>5440</v>
      </c>
    </row>
    <row r="4" spans="1:6" x14ac:dyDescent="0.25">
      <c r="A4" s="44"/>
    </row>
    <row r="5" spans="1:6" x14ac:dyDescent="0.25">
      <c r="A5" s="45" t="s">
        <v>25</v>
      </c>
      <c r="B5" s="85">
        <v>3200</v>
      </c>
    </row>
    <row r="6" spans="1:6" x14ac:dyDescent="0.25">
      <c r="A6" s="45" t="s">
        <v>24</v>
      </c>
      <c r="B6" s="85">
        <v>17</v>
      </c>
      <c r="C6" s="47">
        <f>B5*B6</f>
        <v>54400</v>
      </c>
      <c r="D6" s="46"/>
    </row>
    <row r="7" spans="1:6" x14ac:dyDescent="0.25">
      <c r="A7" s="45" t="s">
        <v>14</v>
      </c>
      <c r="B7" s="77">
        <v>0.15</v>
      </c>
      <c r="C7" s="78">
        <f>$C$6*B7</f>
        <v>8160</v>
      </c>
      <c r="D7" s="78">
        <f>$C$6+C7</f>
        <v>62560</v>
      </c>
    </row>
    <row r="8" spans="1:6" x14ac:dyDescent="0.25">
      <c r="A8" s="45" t="s">
        <v>14</v>
      </c>
      <c r="B8" s="75">
        <v>0.1</v>
      </c>
      <c r="C8" s="76">
        <f t="shared" ref="C8:C10" si="0">$C$6*B8</f>
        <v>5440</v>
      </c>
      <c r="D8" s="76">
        <f t="shared" ref="D8:D10" si="1">$C$6+C8</f>
        <v>59840</v>
      </c>
    </row>
    <row r="9" spans="1:6" x14ac:dyDescent="0.25">
      <c r="A9" s="45" t="s">
        <v>14</v>
      </c>
      <c r="B9" s="79">
        <v>0.05</v>
      </c>
      <c r="C9" s="80">
        <f t="shared" si="0"/>
        <v>2720</v>
      </c>
      <c r="D9" s="80">
        <f t="shared" si="1"/>
        <v>57120</v>
      </c>
    </row>
    <row r="10" spans="1:6" x14ac:dyDescent="0.25">
      <c r="A10" s="45" t="s">
        <v>14</v>
      </c>
      <c r="B10" s="81">
        <v>0.03</v>
      </c>
      <c r="C10" s="82">
        <f t="shared" si="0"/>
        <v>1632</v>
      </c>
      <c r="D10" s="82">
        <f t="shared" si="1"/>
        <v>56032</v>
      </c>
    </row>
  </sheetData>
  <sheetProtection password="CEDB" sheet="1" objects="1" scenarios="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FA40-0535-4EDD-9357-202391D061AF}">
  <sheetPr>
    <tabColor rgb="FF00B050"/>
  </sheetPr>
  <dimension ref="A1:AG52"/>
  <sheetViews>
    <sheetView topLeftCell="A37" zoomScale="150" zoomScaleNormal="150" workbookViewId="0">
      <selection activeCell="A39" sqref="A39"/>
    </sheetView>
  </sheetViews>
  <sheetFormatPr defaultRowHeight="15" x14ac:dyDescent="0.25"/>
  <cols>
    <col min="1" max="1" width="10.85546875" style="2" customWidth="1"/>
    <col min="2" max="2" width="12.28515625" style="2" bestFit="1" customWidth="1"/>
    <col min="3" max="31" width="9.140625" style="2"/>
    <col min="32" max="32" width="12.5703125" style="2" customWidth="1"/>
    <col min="33" max="16384" width="9.140625" style="2"/>
  </cols>
  <sheetData>
    <row r="1" spans="1:33" x14ac:dyDescent="0.25">
      <c r="A1" s="71" t="s">
        <v>21</v>
      </c>
      <c r="B1" s="71"/>
      <c r="C1" s="71"/>
      <c r="D1" s="71"/>
      <c r="E1" s="71"/>
    </row>
    <row r="2" spans="1:33" x14ac:dyDescent="0.25">
      <c r="A2" s="68">
        <f>1/12</f>
        <v>8.3333333333333329E-2</v>
      </c>
      <c r="B2" s="60" t="s">
        <v>20</v>
      </c>
      <c r="C2" s="69">
        <v>1</v>
      </c>
      <c r="D2" s="69">
        <v>1</v>
      </c>
      <c r="E2" s="69">
        <v>1</v>
      </c>
      <c r="F2" s="69">
        <v>1</v>
      </c>
      <c r="G2" s="69">
        <v>1</v>
      </c>
      <c r="H2" s="69">
        <v>1</v>
      </c>
      <c r="I2" s="69">
        <v>1</v>
      </c>
      <c r="J2" s="69">
        <v>1</v>
      </c>
      <c r="K2" s="69">
        <v>1</v>
      </c>
      <c r="L2" s="69">
        <v>1</v>
      </c>
      <c r="M2" s="69">
        <v>1</v>
      </c>
      <c r="N2" s="69">
        <v>1</v>
      </c>
      <c r="O2" s="69">
        <v>1</v>
      </c>
      <c r="P2" s="69">
        <v>1</v>
      </c>
      <c r="Q2" s="69">
        <v>1</v>
      </c>
      <c r="R2" s="69">
        <v>1</v>
      </c>
      <c r="S2" s="69">
        <v>1</v>
      </c>
      <c r="T2" s="69">
        <v>1</v>
      </c>
      <c r="U2" s="69">
        <v>1</v>
      </c>
      <c r="V2" s="69">
        <v>1</v>
      </c>
      <c r="W2" s="69">
        <v>1</v>
      </c>
      <c r="X2" s="69">
        <v>1</v>
      </c>
      <c r="Y2" s="69">
        <v>1</v>
      </c>
      <c r="Z2" s="69">
        <v>1</v>
      </c>
      <c r="AA2" s="69">
        <v>1</v>
      </c>
      <c r="AB2" s="69">
        <v>1</v>
      </c>
      <c r="AC2" s="69">
        <v>1</v>
      </c>
      <c r="AD2" s="69">
        <v>1</v>
      </c>
      <c r="AE2" s="69">
        <v>1</v>
      </c>
      <c r="AF2" s="53"/>
    </row>
    <row r="3" spans="1:33" x14ac:dyDescent="0.25">
      <c r="A3" s="105" t="s">
        <v>11</v>
      </c>
      <c r="B3" s="58" t="s">
        <v>9</v>
      </c>
      <c r="C3" s="69">
        <v>11</v>
      </c>
      <c r="D3" s="69">
        <v>11</v>
      </c>
      <c r="E3" s="69">
        <v>11</v>
      </c>
      <c r="F3" s="69">
        <v>11</v>
      </c>
      <c r="G3" s="69">
        <v>11</v>
      </c>
      <c r="H3" s="69">
        <v>11</v>
      </c>
      <c r="I3" s="69">
        <v>11</v>
      </c>
      <c r="J3" s="69">
        <v>11</v>
      </c>
      <c r="K3" s="69">
        <v>11</v>
      </c>
      <c r="L3" s="69">
        <v>11</v>
      </c>
      <c r="M3" s="69">
        <v>11</v>
      </c>
      <c r="N3" s="69">
        <v>11</v>
      </c>
      <c r="O3" s="69"/>
      <c r="P3" s="69"/>
      <c r="Q3" s="69"/>
      <c r="R3" s="69"/>
      <c r="S3" s="69"/>
      <c r="T3" s="69"/>
      <c r="U3" s="69"/>
      <c r="V3" s="69"/>
      <c r="W3" s="69"/>
      <c r="X3" s="69"/>
      <c r="Y3" s="69"/>
      <c r="Z3" s="69"/>
      <c r="AA3" s="69"/>
      <c r="AB3" s="69"/>
      <c r="AC3" s="69"/>
      <c r="AD3" s="69"/>
      <c r="AE3" s="69"/>
    </row>
    <row r="4" spans="1:33" x14ac:dyDescent="0.25">
      <c r="A4" s="105"/>
      <c r="B4" s="58" t="s">
        <v>17</v>
      </c>
      <c r="C4" s="69">
        <v>3</v>
      </c>
      <c r="D4" s="69">
        <v>3</v>
      </c>
      <c r="E4" s="69">
        <v>3</v>
      </c>
      <c r="F4" s="69">
        <v>3</v>
      </c>
      <c r="G4" s="69">
        <v>3</v>
      </c>
      <c r="H4" s="69">
        <v>3</v>
      </c>
      <c r="I4" s="69">
        <v>1</v>
      </c>
      <c r="J4" s="69">
        <v>3</v>
      </c>
      <c r="K4" s="69">
        <v>1</v>
      </c>
      <c r="L4" s="69">
        <v>3</v>
      </c>
      <c r="M4" s="69">
        <v>1</v>
      </c>
      <c r="N4" s="69">
        <v>1</v>
      </c>
      <c r="O4" s="69"/>
      <c r="P4" s="69"/>
      <c r="Q4" s="69"/>
      <c r="R4" s="69"/>
      <c r="S4" s="69"/>
      <c r="T4" s="69"/>
      <c r="U4" s="69"/>
      <c r="V4" s="69"/>
      <c r="W4" s="69"/>
      <c r="X4" s="69"/>
      <c r="Y4" s="69"/>
      <c r="Z4" s="69"/>
      <c r="AA4" s="69"/>
      <c r="AB4" s="69"/>
      <c r="AC4" s="69"/>
      <c r="AD4" s="69"/>
      <c r="AE4" s="69"/>
    </row>
    <row r="5" spans="1:33" x14ac:dyDescent="0.25">
      <c r="A5" s="105" t="s">
        <v>8</v>
      </c>
      <c r="B5" s="57" t="s">
        <v>9</v>
      </c>
      <c r="C5" s="69">
        <v>6</v>
      </c>
      <c r="D5" s="69">
        <v>6</v>
      </c>
      <c r="E5" s="69">
        <v>6</v>
      </c>
      <c r="F5" s="69">
        <v>6</v>
      </c>
      <c r="G5" s="69">
        <v>6</v>
      </c>
      <c r="H5" s="69">
        <v>6</v>
      </c>
      <c r="I5" s="69">
        <v>6</v>
      </c>
      <c r="J5" s="69">
        <v>6</v>
      </c>
      <c r="K5" s="69">
        <v>6</v>
      </c>
      <c r="L5" s="69">
        <v>6</v>
      </c>
      <c r="M5" s="69">
        <v>6</v>
      </c>
      <c r="N5" s="69">
        <v>6</v>
      </c>
      <c r="O5" s="69"/>
      <c r="P5" s="69"/>
      <c r="Q5" s="69"/>
      <c r="R5" s="69"/>
      <c r="S5" s="69"/>
      <c r="T5" s="69"/>
      <c r="U5" s="69"/>
      <c r="V5" s="69"/>
      <c r="W5" s="69"/>
      <c r="X5" s="69"/>
      <c r="Y5" s="69"/>
      <c r="Z5" s="69"/>
      <c r="AA5" s="69"/>
      <c r="AB5" s="69"/>
      <c r="AC5" s="69"/>
      <c r="AD5" s="69"/>
      <c r="AE5" s="69"/>
    </row>
    <row r="6" spans="1:33" x14ac:dyDescent="0.25">
      <c r="A6" s="105"/>
      <c r="B6" s="57" t="s">
        <v>17</v>
      </c>
      <c r="C6" s="69">
        <v>9</v>
      </c>
      <c r="D6" s="69">
        <v>9</v>
      </c>
      <c r="E6" s="69">
        <v>9</v>
      </c>
      <c r="F6" s="69">
        <v>9</v>
      </c>
      <c r="G6" s="69">
        <v>9</v>
      </c>
      <c r="H6" s="69">
        <v>9</v>
      </c>
      <c r="I6" s="69">
        <v>6</v>
      </c>
      <c r="J6" s="69">
        <v>9</v>
      </c>
      <c r="K6" s="69">
        <v>6</v>
      </c>
      <c r="L6" s="69">
        <v>9</v>
      </c>
      <c r="M6" s="69">
        <v>6</v>
      </c>
      <c r="N6" s="69">
        <v>6</v>
      </c>
      <c r="O6" s="69"/>
      <c r="P6" s="69"/>
      <c r="Q6" s="69"/>
      <c r="R6" s="69"/>
      <c r="S6" s="69"/>
      <c r="T6" s="69"/>
      <c r="U6" s="69"/>
      <c r="V6" s="69"/>
      <c r="W6" s="69"/>
      <c r="X6" s="69"/>
      <c r="Y6" s="69"/>
      <c r="Z6" s="69"/>
      <c r="AA6" s="69"/>
      <c r="AB6" s="69"/>
      <c r="AC6" s="69"/>
      <c r="AD6" s="69"/>
      <c r="AE6" s="69"/>
    </row>
    <row r="7" spans="1:33" x14ac:dyDescent="0.25">
      <c r="A7" s="105" t="s">
        <v>12</v>
      </c>
      <c r="B7" s="58" t="s">
        <v>9</v>
      </c>
      <c r="C7" s="69">
        <v>2</v>
      </c>
      <c r="D7" s="69">
        <v>2</v>
      </c>
      <c r="E7" s="69">
        <v>2</v>
      </c>
      <c r="F7" s="69">
        <v>2</v>
      </c>
      <c r="G7" s="69">
        <v>2</v>
      </c>
      <c r="H7" s="69">
        <v>2</v>
      </c>
      <c r="I7" s="69">
        <v>2</v>
      </c>
      <c r="J7" s="69">
        <v>2</v>
      </c>
      <c r="K7" s="69">
        <v>2</v>
      </c>
      <c r="L7" s="69">
        <v>2</v>
      </c>
      <c r="M7" s="69">
        <v>2</v>
      </c>
      <c r="N7" s="69">
        <v>2</v>
      </c>
      <c r="O7" s="69"/>
      <c r="P7" s="69"/>
      <c r="Q7" s="69"/>
      <c r="R7" s="69"/>
      <c r="S7" s="69"/>
      <c r="T7" s="69"/>
      <c r="U7" s="69"/>
      <c r="V7" s="69"/>
      <c r="W7" s="69"/>
      <c r="X7" s="69"/>
      <c r="Y7" s="69"/>
      <c r="Z7" s="69"/>
      <c r="AA7" s="69"/>
      <c r="AB7" s="69"/>
      <c r="AC7" s="69"/>
      <c r="AD7" s="69"/>
      <c r="AE7" s="69"/>
    </row>
    <row r="8" spans="1:33" x14ac:dyDescent="0.25">
      <c r="A8" s="106"/>
      <c r="B8" s="59" t="s">
        <v>17</v>
      </c>
      <c r="C8" s="69">
        <v>2</v>
      </c>
      <c r="D8" s="69">
        <v>1.5</v>
      </c>
      <c r="E8" s="69">
        <v>1.5</v>
      </c>
      <c r="F8" s="69">
        <v>2</v>
      </c>
      <c r="G8" s="69">
        <v>1</v>
      </c>
      <c r="H8" s="69">
        <v>1</v>
      </c>
      <c r="I8" s="69">
        <v>2</v>
      </c>
      <c r="J8" s="69">
        <v>1.5</v>
      </c>
      <c r="K8" s="69">
        <v>1</v>
      </c>
      <c r="L8" s="69">
        <v>2.5</v>
      </c>
      <c r="M8" s="69">
        <v>1</v>
      </c>
      <c r="N8" s="69">
        <v>1</v>
      </c>
      <c r="O8" s="69"/>
      <c r="P8" s="69"/>
      <c r="Q8" s="69"/>
      <c r="R8" s="69"/>
      <c r="S8" s="69"/>
      <c r="T8" s="69"/>
      <c r="U8" s="69"/>
      <c r="V8" s="69"/>
      <c r="W8" s="69"/>
      <c r="X8" s="69"/>
      <c r="Y8" s="69"/>
      <c r="Z8" s="69"/>
      <c r="AA8" s="69"/>
      <c r="AB8" s="69"/>
      <c r="AC8" s="69"/>
      <c r="AD8" s="69"/>
      <c r="AE8" s="69"/>
    </row>
    <row r="9" spans="1:33" ht="15.75" thickBot="1" x14ac:dyDescent="0.3">
      <c r="A9" s="63" t="s">
        <v>13</v>
      </c>
      <c r="B9" s="64">
        <f>SUM(C9:AE9)</f>
        <v>1903.6163194444448</v>
      </c>
      <c r="C9" s="62">
        <f>C2*((C3+(C4*$A$2))*(C5+(C6*$A$2))*(C7+(C8*$A$2)))</f>
        <v>164.53125</v>
      </c>
      <c r="D9" s="61">
        <f t="shared" ref="D9:AE9" si="0">D2*((D3+(D4*$A$2))*(D5+(D6*$A$2))*(D7+(D8*$A$2)))</f>
        <v>161.3671875</v>
      </c>
      <c r="E9" s="61">
        <f t="shared" si="0"/>
        <v>161.3671875</v>
      </c>
      <c r="F9" s="61">
        <f t="shared" si="0"/>
        <v>164.53125</v>
      </c>
      <c r="G9" s="61">
        <f t="shared" si="0"/>
        <v>158.203125</v>
      </c>
      <c r="H9" s="61">
        <f t="shared" si="0"/>
        <v>158.203125</v>
      </c>
      <c r="I9" s="61">
        <f t="shared" si="0"/>
        <v>156.09027777777777</v>
      </c>
      <c r="J9" s="61">
        <f t="shared" si="0"/>
        <v>161.3671875</v>
      </c>
      <c r="K9" s="61">
        <f t="shared" si="0"/>
        <v>150.08680555555557</v>
      </c>
      <c r="L9" s="61">
        <f t="shared" si="0"/>
        <v>167.6953125</v>
      </c>
      <c r="M9" s="61">
        <f t="shared" si="0"/>
        <v>150.08680555555557</v>
      </c>
      <c r="N9" s="61">
        <f t="shared" si="0"/>
        <v>150.08680555555557</v>
      </c>
      <c r="O9" s="61">
        <f t="shared" si="0"/>
        <v>0</v>
      </c>
      <c r="P9" s="61">
        <f t="shared" si="0"/>
        <v>0</v>
      </c>
      <c r="Q9" s="61">
        <f t="shared" si="0"/>
        <v>0</v>
      </c>
      <c r="R9" s="61">
        <f t="shared" si="0"/>
        <v>0</v>
      </c>
      <c r="S9" s="61">
        <f t="shared" si="0"/>
        <v>0</v>
      </c>
      <c r="T9" s="61">
        <f t="shared" si="0"/>
        <v>0</v>
      </c>
      <c r="U9" s="61">
        <f t="shared" si="0"/>
        <v>0</v>
      </c>
      <c r="V9" s="61">
        <f t="shared" si="0"/>
        <v>0</v>
      </c>
      <c r="W9" s="61">
        <f t="shared" si="0"/>
        <v>0</v>
      </c>
      <c r="X9" s="61">
        <f t="shared" si="0"/>
        <v>0</v>
      </c>
      <c r="Y9" s="61">
        <f t="shared" si="0"/>
        <v>0</v>
      </c>
      <c r="Z9" s="61">
        <f t="shared" si="0"/>
        <v>0</v>
      </c>
      <c r="AA9" s="61">
        <f t="shared" si="0"/>
        <v>0</v>
      </c>
      <c r="AB9" s="61">
        <f t="shared" si="0"/>
        <v>0</v>
      </c>
      <c r="AC9" s="61">
        <f t="shared" si="0"/>
        <v>0</v>
      </c>
      <c r="AD9" s="61">
        <f t="shared" si="0"/>
        <v>0</v>
      </c>
      <c r="AE9" s="61">
        <f t="shared" si="0"/>
        <v>0</v>
      </c>
    </row>
    <row r="10" spans="1:33" ht="15.75" thickTop="1" x14ac:dyDescent="0.25">
      <c r="A10" s="88" t="s">
        <v>18</v>
      </c>
      <c r="B10" s="89">
        <v>219.09</v>
      </c>
    </row>
    <row r="11" spans="1:33" ht="15.75" thickBot="1" x14ac:dyDescent="0.3">
      <c r="A11" s="66" t="s">
        <v>19</v>
      </c>
      <c r="B11" s="73">
        <f>B9*B10</f>
        <v>417063.2994270834</v>
      </c>
    </row>
    <row r="12" spans="1:33" ht="15.75" thickTop="1" x14ac:dyDescent="0.25">
      <c r="A12" s="72" t="s">
        <v>22</v>
      </c>
      <c r="B12" s="74">
        <f>B11*110%</f>
        <v>458769.62936979177</v>
      </c>
      <c r="E12" s="2">
        <v>164.53125</v>
      </c>
      <c r="F12" s="2">
        <v>161.3671875</v>
      </c>
      <c r="G12" s="2">
        <v>161.3671875</v>
      </c>
      <c r="H12" s="2">
        <v>164.53125</v>
      </c>
      <c r="I12" s="2">
        <v>158.203125</v>
      </c>
      <c r="J12" s="2">
        <v>158.203125</v>
      </c>
      <c r="K12" s="2">
        <v>156.09027777777777</v>
      </c>
      <c r="L12" s="2">
        <v>161.3671875</v>
      </c>
      <c r="M12" s="2">
        <v>150.08680555555557</v>
      </c>
      <c r="N12" s="2">
        <v>167.6953125</v>
      </c>
      <c r="O12" s="2">
        <v>150.08680555555557</v>
      </c>
      <c r="P12" s="2">
        <v>150.08680555555557</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row>
    <row r="13" spans="1:33" x14ac:dyDescent="0.25">
      <c r="A13" s="67" t="s">
        <v>17</v>
      </c>
      <c r="B13" s="67" t="s">
        <v>9</v>
      </c>
    </row>
    <row r="14" spans="1:33" x14ac:dyDescent="0.25">
      <c r="A14" s="49">
        <v>1</v>
      </c>
      <c r="B14" s="50">
        <f t="shared" ref="B14:B25" si="1">$A$2*A14</f>
        <v>8.3333333333333329E-2</v>
      </c>
      <c r="E14" s="2">
        <v>164.53125</v>
      </c>
    </row>
    <row r="15" spans="1:33" x14ac:dyDescent="0.25">
      <c r="A15" s="49">
        <v>2</v>
      </c>
      <c r="B15" s="50">
        <f t="shared" si="1"/>
        <v>0.16666666666666666</v>
      </c>
      <c r="E15" s="2">
        <v>161.3671875</v>
      </c>
    </row>
    <row r="16" spans="1:33" x14ac:dyDescent="0.25">
      <c r="A16" s="49">
        <v>3</v>
      </c>
      <c r="B16" s="50">
        <f t="shared" si="1"/>
        <v>0.25</v>
      </c>
      <c r="E16" s="2">
        <v>161.3671875</v>
      </c>
    </row>
    <row r="17" spans="1:5" x14ac:dyDescent="0.25">
      <c r="A17" s="49">
        <v>4</v>
      </c>
      <c r="B17" s="50">
        <f t="shared" si="1"/>
        <v>0.33333333333333331</v>
      </c>
      <c r="E17" s="2">
        <v>164.53125</v>
      </c>
    </row>
    <row r="18" spans="1:5" x14ac:dyDescent="0.25">
      <c r="A18" s="49">
        <v>5</v>
      </c>
      <c r="B18" s="50">
        <f t="shared" si="1"/>
        <v>0.41666666666666663</v>
      </c>
      <c r="E18" s="2">
        <v>158.203125</v>
      </c>
    </row>
    <row r="19" spans="1:5" x14ac:dyDescent="0.25">
      <c r="A19" s="49">
        <v>6</v>
      </c>
      <c r="B19" s="50">
        <f t="shared" si="1"/>
        <v>0.5</v>
      </c>
      <c r="E19" s="2">
        <v>158.203125</v>
      </c>
    </row>
    <row r="20" spans="1:5" x14ac:dyDescent="0.25">
      <c r="A20" s="49">
        <v>7</v>
      </c>
      <c r="B20" s="50">
        <f t="shared" si="1"/>
        <v>0.58333333333333326</v>
      </c>
      <c r="E20" s="2">
        <v>156.09027777777777</v>
      </c>
    </row>
    <row r="21" spans="1:5" x14ac:dyDescent="0.25">
      <c r="A21" s="49">
        <v>8</v>
      </c>
      <c r="B21" s="50">
        <f t="shared" si="1"/>
        <v>0.66666666666666663</v>
      </c>
      <c r="E21" s="2">
        <v>161.3671875</v>
      </c>
    </row>
    <row r="22" spans="1:5" x14ac:dyDescent="0.25">
      <c r="A22" s="49">
        <v>9</v>
      </c>
      <c r="B22" s="50">
        <f t="shared" si="1"/>
        <v>0.75</v>
      </c>
      <c r="E22" s="2">
        <v>150.08680555555557</v>
      </c>
    </row>
    <row r="23" spans="1:5" x14ac:dyDescent="0.25">
      <c r="A23" s="49">
        <v>10</v>
      </c>
      <c r="B23" s="50">
        <f t="shared" si="1"/>
        <v>0.83333333333333326</v>
      </c>
      <c r="E23" s="2">
        <v>167.6953125</v>
      </c>
    </row>
    <row r="24" spans="1:5" x14ac:dyDescent="0.25">
      <c r="A24" s="49">
        <v>11</v>
      </c>
      <c r="B24" s="50">
        <f t="shared" si="1"/>
        <v>0.91666666666666663</v>
      </c>
      <c r="E24" s="2">
        <v>150.08680555555557</v>
      </c>
    </row>
    <row r="25" spans="1:5" x14ac:dyDescent="0.25">
      <c r="A25" s="49">
        <v>12</v>
      </c>
      <c r="B25" s="51">
        <f t="shared" si="1"/>
        <v>1</v>
      </c>
      <c r="E25" s="2">
        <v>150.08680555555557</v>
      </c>
    </row>
    <row r="26" spans="1:5" ht="15.75" thickBot="1" x14ac:dyDescent="0.3">
      <c r="E26" s="113">
        <f>SUM(E14:E25)</f>
        <v>1903.6163194444448</v>
      </c>
    </row>
    <row r="27" spans="1:5" ht="15.75" thickTop="1" x14ac:dyDescent="0.25"/>
    <row r="36" spans="1:29" x14ac:dyDescent="0.25">
      <c r="A36" s="2">
        <v>164.53125</v>
      </c>
      <c r="B36" s="2">
        <v>161.3671875</v>
      </c>
      <c r="C36" s="2">
        <v>161.3671875</v>
      </c>
      <c r="D36" s="2">
        <v>164.53125</v>
      </c>
      <c r="E36" s="2">
        <v>158.203125</v>
      </c>
      <c r="F36" s="2">
        <v>158.203125</v>
      </c>
      <c r="G36" s="2">
        <v>156.09027777777777</v>
      </c>
      <c r="H36" s="2">
        <v>161.3671875</v>
      </c>
      <c r="I36" s="2">
        <v>150.08680555555557</v>
      </c>
      <c r="J36" s="2">
        <v>167.6953125</v>
      </c>
      <c r="K36" s="2">
        <v>150.08680555555557</v>
      </c>
      <c r="L36" s="2">
        <v>150.08680555555557</v>
      </c>
      <c r="M36" s="2">
        <v>0</v>
      </c>
      <c r="N36" s="2">
        <v>0</v>
      </c>
      <c r="O36" s="2">
        <v>0</v>
      </c>
      <c r="P36" s="2">
        <v>0</v>
      </c>
      <c r="Q36" s="2">
        <v>0</v>
      </c>
      <c r="R36" s="2">
        <v>0</v>
      </c>
      <c r="S36" s="2">
        <v>0</v>
      </c>
      <c r="T36" s="2">
        <v>0</v>
      </c>
      <c r="U36" s="2">
        <v>0</v>
      </c>
      <c r="V36" s="2">
        <v>0</v>
      </c>
      <c r="W36" s="2">
        <v>0</v>
      </c>
      <c r="X36" s="2">
        <v>0</v>
      </c>
      <c r="Y36" s="2">
        <v>0</v>
      </c>
      <c r="Z36" s="2">
        <v>0</v>
      </c>
      <c r="AA36" s="2">
        <v>0</v>
      </c>
      <c r="AB36" s="2">
        <v>0</v>
      </c>
      <c r="AC36" s="2">
        <v>0</v>
      </c>
    </row>
    <row r="39" spans="1:29" x14ac:dyDescent="0.25">
      <c r="A39" s="4">
        <v>164.53125</v>
      </c>
    </row>
    <row r="40" spans="1:29" x14ac:dyDescent="0.25">
      <c r="A40" s="4">
        <v>161.3671875</v>
      </c>
    </row>
    <row r="41" spans="1:29" x14ac:dyDescent="0.25">
      <c r="A41" s="4">
        <v>161.3671875</v>
      </c>
    </row>
    <row r="42" spans="1:29" x14ac:dyDescent="0.25">
      <c r="A42" s="4">
        <v>164.53125</v>
      </c>
    </row>
    <row r="43" spans="1:29" x14ac:dyDescent="0.25">
      <c r="A43" s="4">
        <v>158.203125</v>
      </c>
    </row>
    <row r="44" spans="1:29" x14ac:dyDescent="0.25">
      <c r="A44" s="4">
        <v>158.203125</v>
      </c>
    </row>
    <row r="45" spans="1:29" x14ac:dyDescent="0.25">
      <c r="A45" s="4">
        <v>156.09027777777777</v>
      </c>
    </row>
    <row r="46" spans="1:29" x14ac:dyDescent="0.25">
      <c r="A46" s="4">
        <v>161.3671875</v>
      </c>
    </row>
    <row r="47" spans="1:29" x14ac:dyDescent="0.25">
      <c r="A47" s="4">
        <v>150.08680555555557</v>
      </c>
    </row>
    <row r="48" spans="1:29" x14ac:dyDescent="0.25">
      <c r="A48" s="4">
        <v>167.6953125</v>
      </c>
    </row>
    <row r="49" spans="1:1" x14ac:dyDescent="0.25">
      <c r="A49" s="4">
        <v>150.08680555555557</v>
      </c>
    </row>
    <row r="50" spans="1:1" x14ac:dyDescent="0.25">
      <c r="A50" s="4">
        <v>150.08680555555557</v>
      </c>
    </row>
    <row r="51" spans="1:1" ht="15.75" thickBot="1" x14ac:dyDescent="0.3">
      <c r="A51" s="114">
        <f>SUM(A39:A50)</f>
        <v>1903.6163194444448</v>
      </c>
    </row>
    <row r="52" spans="1:1" ht="15.75" thickTop="1" x14ac:dyDescent="0.25"/>
  </sheetData>
  <mergeCells count="3">
    <mergeCell ref="A3:A4"/>
    <mergeCell ref="A5:A6"/>
    <mergeCell ref="A7:A8"/>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D1D71-5FCE-48C9-BA38-2581A1F0F419}">
  <sheetPr>
    <tabColor rgb="FF00B0F0"/>
  </sheetPr>
  <dimension ref="A1:AF23"/>
  <sheetViews>
    <sheetView zoomScale="150" zoomScaleNormal="150" workbookViewId="0">
      <selection activeCell="D11" sqref="D11"/>
    </sheetView>
  </sheetViews>
  <sheetFormatPr defaultRowHeight="15" x14ac:dyDescent="0.25"/>
  <cols>
    <col min="1" max="1" width="8.5703125" style="2" customWidth="1"/>
    <col min="2" max="2" width="12.28515625" style="2" bestFit="1" customWidth="1"/>
    <col min="3" max="30" width="9.140625" style="2"/>
    <col min="31" max="32" width="9.28515625" style="2" customWidth="1"/>
    <col min="33" max="16384" width="9.140625" style="2"/>
  </cols>
  <sheetData>
    <row r="1" spans="1:32" x14ac:dyDescent="0.25">
      <c r="A1" s="71" t="s">
        <v>21</v>
      </c>
      <c r="B1" s="71"/>
      <c r="C1" s="71"/>
      <c r="D1" s="71"/>
      <c r="E1" s="71"/>
    </row>
    <row r="2" spans="1:32" x14ac:dyDescent="0.25">
      <c r="A2" s="68">
        <f>1/12</f>
        <v>8.3333333333333329E-2</v>
      </c>
      <c r="B2" s="60" t="s">
        <v>23</v>
      </c>
      <c r="C2" s="69">
        <v>1</v>
      </c>
      <c r="D2" s="69">
        <v>1</v>
      </c>
      <c r="E2" s="69">
        <v>1</v>
      </c>
      <c r="F2" s="69">
        <v>1</v>
      </c>
      <c r="G2" s="69">
        <v>1</v>
      </c>
      <c r="H2" s="69">
        <v>1</v>
      </c>
      <c r="I2" s="69">
        <v>1</v>
      </c>
      <c r="J2" s="69">
        <v>1</v>
      </c>
      <c r="K2" s="69">
        <v>1</v>
      </c>
      <c r="L2" s="69">
        <v>1</v>
      </c>
      <c r="M2" s="69">
        <v>1</v>
      </c>
      <c r="N2" s="69">
        <v>1</v>
      </c>
      <c r="O2" s="69">
        <v>1</v>
      </c>
      <c r="P2" s="69">
        <v>1</v>
      </c>
      <c r="Q2" s="69">
        <v>1</v>
      </c>
      <c r="R2" s="69">
        <v>1</v>
      </c>
      <c r="S2" s="69">
        <v>1</v>
      </c>
      <c r="T2" s="69">
        <v>1</v>
      </c>
      <c r="U2" s="69">
        <v>1</v>
      </c>
      <c r="V2" s="69">
        <v>1</v>
      </c>
      <c r="W2" s="69">
        <v>1</v>
      </c>
      <c r="X2" s="69">
        <v>1</v>
      </c>
      <c r="Y2" s="69">
        <v>1</v>
      </c>
      <c r="Z2" s="69">
        <v>1</v>
      </c>
      <c r="AA2" s="69">
        <v>1</v>
      </c>
      <c r="AB2" s="69">
        <v>1</v>
      </c>
      <c r="AC2" s="69">
        <v>1</v>
      </c>
      <c r="AD2" s="69">
        <v>1</v>
      </c>
      <c r="AE2" s="69">
        <v>1</v>
      </c>
      <c r="AF2" s="69">
        <v>1</v>
      </c>
    </row>
    <row r="3" spans="1:32" x14ac:dyDescent="0.25">
      <c r="A3" s="105" t="s">
        <v>11</v>
      </c>
      <c r="B3" s="58" t="s">
        <v>9</v>
      </c>
      <c r="C3" s="69">
        <v>40</v>
      </c>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c r="AF3" s="69"/>
    </row>
    <row r="4" spans="1:32" x14ac:dyDescent="0.25">
      <c r="A4" s="105"/>
      <c r="B4" s="58" t="s">
        <v>17</v>
      </c>
      <c r="C4" s="69">
        <v>11</v>
      </c>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row>
    <row r="5" spans="1:32" x14ac:dyDescent="0.25">
      <c r="A5" s="105" t="s">
        <v>8</v>
      </c>
      <c r="B5" s="57" t="s">
        <v>9</v>
      </c>
      <c r="C5" s="69">
        <v>78</v>
      </c>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row>
    <row r="6" spans="1:32" x14ac:dyDescent="0.25">
      <c r="A6" s="105"/>
      <c r="B6" s="57" t="s">
        <v>17</v>
      </c>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row>
    <row r="7" spans="1:32" ht="15.75" thickBot="1" x14ac:dyDescent="0.3">
      <c r="A7" s="63" t="s">
        <v>13</v>
      </c>
      <c r="B7" s="64">
        <f>SUM(C7:AF7)</f>
        <v>3191.5</v>
      </c>
      <c r="C7" s="62">
        <f>C2*((C3+(C4*$A$2))*(C5+(C6*$A$2)))</f>
        <v>3191.5</v>
      </c>
      <c r="D7" s="62">
        <f t="shared" ref="D7:AF7" si="0">D2*((D3+(D4*$A$2))*(D5+(D6*$A$2)))</f>
        <v>0</v>
      </c>
      <c r="E7" s="62">
        <f t="shared" si="0"/>
        <v>0</v>
      </c>
      <c r="F7" s="62">
        <f t="shared" si="0"/>
        <v>0</v>
      </c>
      <c r="G7" s="62">
        <f t="shared" si="0"/>
        <v>0</v>
      </c>
      <c r="H7" s="62">
        <f t="shared" si="0"/>
        <v>0</v>
      </c>
      <c r="I7" s="62">
        <f t="shared" si="0"/>
        <v>0</v>
      </c>
      <c r="J7" s="62">
        <f t="shared" si="0"/>
        <v>0</v>
      </c>
      <c r="K7" s="62">
        <f t="shared" si="0"/>
        <v>0</v>
      </c>
      <c r="L7" s="62">
        <f t="shared" si="0"/>
        <v>0</v>
      </c>
      <c r="M7" s="62">
        <f t="shared" si="0"/>
        <v>0</v>
      </c>
      <c r="N7" s="62">
        <f t="shared" si="0"/>
        <v>0</v>
      </c>
      <c r="O7" s="62">
        <f t="shared" si="0"/>
        <v>0</v>
      </c>
      <c r="P7" s="62">
        <f t="shared" si="0"/>
        <v>0</v>
      </c>
      <c r="Q7" s="62">
        <f t="shared" si="0"/>
        <v>0</v>
      </c>
      <c r="R7" s="62">
        <f t="shared" si="0"/>
        <v>0</v>
      </c>
      <c r="S7" s="62">
        <f t="shared" si="0"/>
        <v>0</v>
      </c>
      <c r="T7" s="62">
        <f t="shared" si="0"/>
        <v>0</v>
      </c>
      <c r="U7" s="62">
        <f t="shared" si="0"/>
        <v>0</v>
      </c>
      <c r="V7" s="62">
        <f t="shared" si="0"/>
        <v>0</v>
      </c>
      <c r="W7" s="62">
        <f t="shared" si="0"/>
        <v>0</v>
      </c>
      <c r="X7" s="62">
        <f t="shared" si="0"/>
        <v>0</v>
      </c>
      <c r="Y7" s="62">
        <f t="shared" si="0"/>
        <v>0</v>
      </c>
      <c r="Z7" s="62">
        <f t="shared" si="0"/>
        <v>0</v>
      </c>
      <c r="AA7" s="62">
        <f t="shared" si="0"/>
        <v>0</v>
      </c>
      <c r="AB7" s="62">
        <f t="shared" si="0"/>
        <v>0</v>
      </c>
      <c r="AC7" s="62">
        <f t="shared" si="0"/>
        <v>0</v>
      </c>
      <c r="AD7" s="62">
        <f t="shared" si="0"/>
        <v>0</v>
      </c>
      <c r="AE7" s="62">
        <f t="shared" si="0"/>
        <v>0</v>
      </c>
      <c r="AF7" s="62">
        <f t="shared" si="0"/>
        <v>0</v>
      </c>
    </row>
    <row r="8" spans="1:32" ht="15.75" thickTop="1" x14ac:dyDescent="0.25">
      <c r="A8" s="65" t="s">
        <v>18</v>
      </c>
      <c r="B8" s="70">
        <v>13.64</v>
      </c>
    </row>
    <row r="9" spans="1:32" ht="15.75" thickBot="1" x14ac:dyDescent="0.3">
      <c r="A9" s="66" t="s">
        <v>19</v>
      </c>
      <c r="B9" s="73">
        <f>B7*B8</f>
        <v>43532.060000000005</v>
      </c>
    </row>
    <row r="10" spans="1:32" ht="15.75" thickTop="1" x14ac:dyDescent="0.25">
      <c r="A10" s="72" t="s">
        <v>22</v>
      </c>
      <c r="B10" s="74">
        <f>B9*110%</f>
        <v>47885.266000000011</v>
      </c>
    </row>
    <row r="11" spans="1:32" x14ac:dyDescent="0.25">
      <c r="A11" s="67" t="s">
        <v>17</v>
      </c>
      <c r="B11" s="67" t="s">
        <v>9</v>
      </c>
    </row>
    <row r="12" spans="1:32" x14ac:dyDescent="0.25">
      <c r="A12" s="49">
        <v>1</v>
      </c>
      <c r="B12" s="50">
        <f t="shared" ref="B12:B23" si="1">$A$2*A12</f>
        <v>8.3333333333333329E-2</v>
      </c>
    </row>
    <row r="13" spans="1:32" x14ac:dyDescent="0.25">
      <c r="A13" s="49">
        <v>2</v>
      </c>
      <c r="B13" s="50">
        <f t="shared" si="1"/>
        <v>0.16666666666666666</v>
      </c>
    </row>
    <row r="14" spans="1:32" x14ac:dyDescent="0.25">
      <c r="A14" s="49">
        <v>3</v>
      </c>
      <c r="B14" s="50">
        <f t="shared" si="1"/>
        <v>0.25</v>
      </c>
    </row>
    <row r="15" spans="1:32" x14ac:dyDescent="0.25">
      <c r="A15" s="49">
        <v>4</v>
      </c>
      <c r="B15" s="50">
        <f t="shared" si="1"/>
        <v>0.33333333333333331</v>
      </c>
    </row>
    <row r="16" spans="1:32" x14ac:dyDescent="0.25">
      <c r="A16" s="49">
        <v>5</v>
      </c>
      <c r="B16" s="50">
        <f t="shared" si="1"/>
        <v>0.41666666666666663</v>
      </c>
    </row>
    <row r="17" spans="1:2" x14ac:dyDescent="0.25">
      <c r="A17" s="49">
        <v>6</v>
      </c>
      <c r="B17" s="50">
        <f t="shared" si="1"/>
        <v>0.5</v>
      </c>
    </row>
    <row r="18" spans="1:2" x14ac:dyDescent="0.25">
      <c r="A18" s="49">
        <v>7</v>
      </c>
      <c r="B18" s="50">
        <f t="shared" si="1"/>
        <v>0.58333333333333326</v>
      </c>
    </row>
    <row r="19" spans="1:2" x14ac:dyDescent="0.25">
      <c r="A19" s="49">
        <v>8</v>
      </c>
      <c r="B19" s="50">
        <f t="shared" si="1"/>
        <v>0.66666666666666663</v>
      </c>
    </row>
    <row r="20" spans="1:2" x14ac:dyDescent="0.25">
      <c r="A20" s="49">
        <v>9</v>
      </c>
      <c r="B20" s="50">
        <f t="shared" si="1"/>
        <v>0.75</v>
      </c>
    </row>
    <row r="21" spans="1:2" x14ac:dyDescent="0.25">
      <c r="A21" s="49">
        <v>10</v>
      </c>
      <c r="B21" s="50">
        <f t="shared" si="1"/>
        <v>0.83333333333333326</v>
      </c>
    </row>
    <row r="22" spans="1:2" x14ac:dyDescent="0.25">
      <c r="A22" s="49">
        <v>11</v>
      </c>
      <c r="B22" s="50">
        <f t="shared" si="1"/>
        <v>0.91666666666666663</v>
      </c>
    </row>
    <row r="23" spans="1:2" x14ac:dyDescent="0.25">
      <c r="A23" s="49">
        <v>12</v>
      </c>
      <c r="B23" s="51">
        <f t="shared" si="1"/>
        <v>1</v>
      </c>
    </row>
  </sheetData>
  <sheetProtection password="CEDB" sheet="1" objects="1" scenarios="1"/>
  <mergeCells count="2">
    <mergeCell ref="A3:A4"/>
    <mergeCell ref="A5:A6"/>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D237-6F30-476C-A31C-5A66034C0F54}">
  <dimension ref="A1:AF23"/>
  <sheetViews>
    <sheetView zoomScale="150" zoomScaleNormal="150" workbookViewId="0">
      <selection activeCell="C3" sqref="C3"/>
    </sheetView>
  </sheetViews>
  <sheetFormatPr defaultRowHeight="15" x14ac:dyDescent="0.25"/>
  <cols>
    <col min="1" max="1" width="8.5703125" style="2" customWidth="1"/>
    <col min="2" max="2" width="12.28515625" style="2" bestFit="1" customWidth="1"/>
    <col min="3" max="32" width="12.5703125" style="2" customWidth="1"/>
    <col min="33" max="16384" width="9.140625" style="2"/>
  </cols>
  <sheetData>
    <row r="1" spans="1:32" x14ac:dyDescent="0.25">
      <c r="A1" s="71" t="s">
        <v>21</v>
      </c>
      <c r="B1" s="71"/>
      <c r="C1" s="71"/>
      <c r="D1" s="71"/>
      <c r="E1" s="71"/>
    </row>
    <row r="2" spans="1:32" x14ac:dyDescent="0.25">
      <c r="A2" s="68">
        <f>1/12</f>
        <v>8.3333333333333329E-2</v>
      </c>
      <c r="B2" s="60" t="s">
        <v>23</v>
      </c>
      <c r="C2" s="69">
        <v>1</v>
      </c>
      <c r="D2" s="69">
        <v>1</v>
      </c>
      <c r="E2" s="69">
        <v>1</v>
      </c>
      <c r="F2" s="69">
        <v>1</v>
      </c>
      <c r="G2" s="69">
        <v>1</v>
      </c>
      <c r="H2" s="69">
        <v>2</v>
      </c>
      <c r="I2" s="69">
        <v>3</v>
      </c>
      <c r="J2" s="69">
        <v>3</v>
      </c>
      <c r="K2" s="69">
        <v>1</v>
      </c>
      <c r="L2" s="69">
        <v>3</v>
      </c>
      <c r="M2" s="69">
        <v>4</v>
      </c>
      <c r="N2" s="69">
        <v>1</v>
      </c>
      <c r="O2" s="69">
        <v>1</v>
      </c>
      <c r="P2" s="69">
        <v>1</v>
      </c>
      <c r="Q2" s="69">
        <v>1</v>
      </c>
      <c r="R2" s="69">
        <v>1</v>
      </c>
      <c r="S2" s="69">
        <v>1</v>
      </c>
      <c r="T2" s="69">
        <v>1</v>
      </c>
      <c r="U2" s="69">
        <v>1</v>
      </c>
      <c r="V2" s="69">
        <v>1</v>
      </c>
      <c r="W2" s="69">
        <v>1</v>
      </c>
      <c r="X2" s="69">
        <v>1</v>
      </c>
      <c r="Y2" s="69">
        <v>1</v>
      </c>
      <c r="Z2" s="69">
        <v>1</v>
      </c>
      <c r="AA2" s="69">
        <v>1</v>
      </c>
      <c r="AB2" s="69">
        <v>1</v>
      </c>
      <c r="AC2" s="69">
        <v>1</v>
      </c>
      <c r="AD2" s="69">
        <v>1</v>
      </c>
      <c r="AE2" s="69">
        <v>1</v>
      </c>
      <c r="AF2" s="69">
        <v>1</v>
      </c>
    </row>
    <row r="3" spans="1:32" x14ac:dyDescent="0.25">
      <c r="A3" s="105" t="s">
        <v>11</v>
      </c>
      <c r="B3" s="58" t="s">
        <v>9</v>
      </c>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c r="AF3" s="69"/>
    </row>
    <row r="4" spans="1:32" x14ac:dyDescent="0.25">
      <c r="A4" s="105"/>
      <c r="B4" s="58" t="s">
        <v>17</v>
      </c>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row>
    <row r="5" spans="1:32" x14ac:dyDescent="0.25">
      <c r="A5" s="105" t="s">
        <v>8</v>
      </c>
      <c r="B5" s="57" t="s">
        <v>9</v>
      </c>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row>
    <row r="6" spans="1:32" x14ac:dyDescent="0.25">
      <c r="A6" s="105"/>
      <c r="B6" s="57" t="s">
        <v>17</v>
      </c>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row>
    <row r="7" spans="1:32" ht="15.75" thickBot="1" x14ac:dyDescent="0.3">
      <c r="A7" s="63" t="s">
        <v>13</v>
      </c>
      <c r="B7" s="64">
        <f>SUM(C7:AF7)</f>
        <v>0</v>
      </c>
      <c r="C7" s="62">
        <f>C2*((C3+(C4*$A$2))*(C5+(C6*$A$2)))</f>
        <v>0</v>
      </c>
      <c r="D7" s="62">
        <f t="shared" ref="D7:AF7" si="0">D2*((D3+(D4*$A$2))*(D5+(D6*$A$2)))</f>
        <v>0</v>
      </c>
      <c r="E7" s="62">
        <f t="shared" si="0"/>
        <v>0</v>
      </c>
      <c r="F7" s="62">
        <f t="shared" si="0"/>
        <v>0</v>
      </c>
      <c r="G7" s="62">
        <f t="shared" si="0"/>
        <v>0</v>
      </c>
      <c r="H7" s="62">
        <f t="shared" si="0"/>
        <v>0</v>
      </c>
      <c r="I7" s="62">
        <f t="shared" si="0"/>
        <v>0</v>
      </c>
      <c r="J7" s="62">
        <f t="shared" si="0"/>
        <v>0</v>
      </c>
      <c r="K7" s="62">
        <f t="shared" si="0"/>
        <v>0</v>
      </c>
      <c r="L7" s="62">
        <f t="shared" si="0"/>
        <v>0</v>
      </c>
      <c r="M7" s="62">
        <f t="shared" si="0"/>
        <v>0</v>
      </c>
      <c r="N7" s="62">
        <f t="shared" si="0"/>
        <v>0</v>
      </c>
      <c r="O7" s="62">
        <f t="shared" si="0"/>
        <v>0</v>
      </c>
      <c r="P7" s="62">
        <f t="shared" si="0"/>
        <v>0</v>
      </c>
      <c r="Q7" s="62">
        <f t="shared" si="0"/>
        <v>0</v>
      </c>
      <c r="R7" s="62">
        <f t="shared" si="0"/>
        <v>0</v>
      </c>
      <c r="S7" s="62">
        <f t="shared" si="0"/>
        <v>0</v>
      </c>
      <c r="T7" s="62">
        <f t="shared" si="0"/>
        <v>0</v>
      </c>
      <c r="U7" s="62">
        <f t="shared" si="0"/>
        <v>0</v>
      </c>
      <c r="V7" s="62">
        <f t="shared" si="0"/>
        <v>0</v>
      </c>
      <c r="W7" s="62">
        <f t="shared" si="0"/>
        <v>0</v>
      </c>
      <c r="X7" s="62">
        <f t="shared" si="0"/>
        <v>0</v>
      </c>
      <c r="Y7" s="62">
        <f t="shared" si="0"/>
        <v>0</v>
      </c>
      <c r="Z7" s="62">
        <f t="shared" si="0"/>
        <v>0</v>
      </c>
      <c r="AA7" s="62">
        <f t="shared" si="0"/>
        <v>0</v>
      </c>
      <c r="AB7" s="62">
        <f t="shared" si="0"/>
        <v>0</v>
      </c>
      <c r="AC7" s="62">
        <f t="shared" si="0"/>
        <v>0</v>
      </c>
      <c r="AD7" s="62">
        <f t="shared" si="0"/>
        <v>0</v>
      </c>
      <c r="AE7" s="62">
        <f t="shared" si="0"/>
        <v>0</v>
      </c>
      <c r="AF7" s="62">
        <f t="shared" si="0"/>
        <v>0</v>
      </c>
    </row>
    <row r="8" spans="1:32" ht="15.75" thickTop="1" x14ac:dyDescent="0.25">
      <c r="A8" s="65" t="s">
        <v>18</v>
      </c>
      <c r="B8" s="70">
        <v>13.64</v>
      </c>
    </row>
    <row r="9" spans="1:32" ht="15.75" thickBot="1" x14ac:dyDescent="0.3">
      <c r="A9" s="66" t="s">
        <v>19</v>
      </c>
      <c r="B9" s="73">
        <f>B7*B8</f>
        <v>0</v>
      </c>
    </row>
    <row r="10" spans="1:32" ht="15.75" thickTop="1" x14ac:dyDescent="0.25">
      <c r="A10" s="72" t="s">
        <v>22</v>
      </c>
      <c r="B10" s="74">
        <f>B9*110%</f>
        <v>0</v>
      </c>
    </row>
    <row r="11" spans="1:32" x14ac:dyDescent="0.25">
      <c r="A11" s="67" t="s">
        <v>17</v>
      </c>
      <c r="B11" s="67" t="s">
        <v>9</v>
      </c>
    </row>
    <row r="12" spans="1:32" x14ac:dyDescent="0.25">
      <c r="A12" s="49">
        <v>1</v>
      </c>
      <c r="B12" s="50">
        <f t="shared" ref="B12:B23" si="1">$A$2*A12</f>
        <v>8.3333333333333329E-2</v>
      </c>
    </row>
    <row r="13" spans="1:32" x14ac:dyDescent="0.25">
      <c r="A13" s="49">
        <v>2</v>
      </c>
      <c r="B13" s="50">
        <f t="shared" si="1"/>
        <v>0.16666666666666666</v>
      </c>
    </row>
    <row r="14" spans="1:32" x14ac:dyDescent="0.25">
      <c r="A14" s="49">
        <v>3</v>
      </c>
      <c r="B14" s="50">
        <f t="shared" si="1"/>
        <v>0.25</v>
      </c>
    </row>
    <row r="15" spans="1:32" x14ac:dyDescent="0.25">
      <c r="A15" s="49">
        <v>4</v>
      </c>
      <c r="B15" s="50">
        <f t="shared" si="1"/>
        <v>0.33333333333333331</v>
      </c>
    </row>
    <row r="16" spans="1:32" x14ac:dyDescent="0.25">
      <c r="A16" s="49">
        <v>5</v>
      </c>
      <c r="B16" s="50">
        <f t="shared" si="1"/>
        <v>0.41666666666666663</v>
      </c>
    </row>
    <row r="17" spans="1:2" x14ac:dyDescent="0.25">
      <c r="A17" s="49">
        <v>6</v>
      </c>
      <c r="B17" s="50">
        <f t="shared" si="1"/>
        <v>0.5</v>
      </c>
    </row>
    <row r="18" spans="1:2" x14ac:dyDescent="0.25">
      <c r="A18" s="49">
        <v>7</v>
      </c>
      <c r="B18" s="50">
        <f t="shared" si="1"/>
        <v>0.58333333333333326</v>
      </c>
    </row>
    <row r="19" spans="1:2" x14ac:dyDescent="0.25">
      <c r="A19" s="49">
        <v>8</v>
      </c>
      <c r="B19" s="50">
        <f t="shared" si="1"/>
        <v>0.66666666666666663</v>
      </c>
    </row>
    <row r="20" spans="1:2" x14ac:dyDescent="0.25">
      <c r="A20" s="49">
        <v>9</v>
      </c>
      <c r="B20" s="50">
        <f t="shared" si="1"/>
        <v>0.75</v>
      </c>
    </row>
    <row r="21" spans="1:2" x14ac:dyDescent="0.25">
      <c r="A21" s="49">
        <v>10</v>
      </c>
      <c r="B21" s="50">
        <f t="shared" si="1"/>
        <v>0.83333333333333326</v>
      </c>
    </row>
    <row r="22" spans="1:2" x14ac:dyDescent="0.25">
      <c r="A22" s="49">
        <v>11</v>
      </c>
      <c r="B22" s="50">
        <f t="shared" si="1"/>
        <v>0.91666666666666663</v>
      </c>
    </row>
    <row r="23" spans="1:2" x14ac:dyDescent="0.25">
      <c r="A23" s="49">
        <v>12</v>
      </c>
      <c r="B23" s="51">
        <f t="shared" si="1"/>
        <v>1</v>
      </c>
    </row>
  </sheetData>
  <mergeCells count="2">
    <mergeCell ref="A3:A4"/>
    <mergeCell ref="A5:A6"/>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7C05F-3B55-4BD4-A556-A081F4DBF31E}">
  <dimension ref="A1:AF71"/>
  <sheetViews>
    <sheetView topLeftCell="A12" zoomScale="170" zoomScaleNormal="170" workbookViewId="0">
      <selection activeCell="H19" sqref="H19"/>
    </sheetView>
  </sheetViews>
  <sheetFormatPr defaultRowHeight="15" x14ac:dyDescent="0.25"/>
  <cols>
    <col min="1" max="1" width="8.5703125" style="2" customWidth="1"/>
    <col min="2" max="2" width="12.28515625" style="2" bestFit="1" customWidth="1"/>
    <col min="3" max="3" width="9.5703125" style="2" bestFit="1" customWidth="1"/>
    <col min="4" max="4" width="9.140625" style="2"/>
    <col min="5" max="7" width="11.85546875" style="2" customWidth="1"/>
    <col min="8" max="8" width="13.28515625" style="2" bestFit="1" customWidth="1"/>
    <col min="9" max="32" width="11.85546875" style="2" customWidth="1"/>
    <col min="33" max="16384" width="9.140625" style="2"/>
  </cols>
  <sheetData>
    <row r="1" spans="1:32" x14ac:dyDescent="0.25">
      <c r="A1" s="71" t="s">
        <v>21</v>
      </c>
      <c r="B1" s="71"/>
      <c r="C1" s="71"/>
      <c r="D1" s="71"/>
      <c r="E1" s="71"/>
    </row>
    <row r="2" spans="1:32" x14ac:dyDescent="0.25">
      <c r="A2" s="68">
        <f>1/12</f>
        <v>8.3333333333333329E-2</v>
      </c>
      <c r="B2" s="60" t="s">
        <v>23</v>
      </c>
      <c r="C2" s="69">
        <v>5</v>
      </c>
      <c r="D2" s="69">
        <v>4</v>
      </c>
      <c r="E2" s="69">
        <v>1</v>
      </c>
      <c r="F2" s="69">
        <v>1</v>
      </c>
      <c r="G2" s="69">
        <v>10</v>
      </c>
      <c r="H2" s="69">
        <v>1</v>
      </c>
      <c r="I2" s="69">
        <v>1</v>
      </c>
      <c r="J2" s="69">
        <v>4</v>
      </c>
      <c r="K2" s="69">
        <v>1</v>
      </c>
      <c r="L2" s="69">
        <v>1</v>
      </c>
      <c r="M2" s="69">
        <v>8</v>
      </c>
      <c r="N2" s="69">
        <v>1</v>
      </c>
      <c r="O2" s="69">
        <v>6</v>
      </c>
      <c r="P2" s="69">
        <v>16</v>
      </c>
      <c r="Q2" s="69">
        <v>1</v>
      </c>
      <c r="R2" s="69">
        <v>1</v>
      </c>
      <c r="S2" s="69">
        <v>4</v>
      </c>
      <c r="T2" s="69">
        <v>12</v>
      </c>
      <c r="U2" s="69">
        <v>1</v>
      </c>
      <c r="V2" s="69">
        <v>2</v>
      </c>
      <c r="W2" s="69">
        <v>2</v>
      </c>
      <c r="X2" s="69">
        <v>2</v>
      </c>
      <c r="Y2" s="69">
        <v>1</v>
      </c>
      <c r="Z2" s="69">
        <v>1</v>
      </c>
      <c r="AA2" s="69">
        <v>1</v>
      </c>
      <c r="AB2" s="69">
        <v>1</v>
      </c>
      <c r="AC2" s="69">
        <v>1</v>
      </c>
      <c r="AD2" s="69">
        <v>1</v>
      </c>
      <c r="AE2" s="69">
        <v>1</v>
      </c>
      <c r="AF2" s="69">
        <v>1</v>
      </c>
    </row>
    <row r="3" spans="1:32" x14ac:dyDescent="0.25">
      <c r="A3" s="96" t="s">
        <v>11</v>
      </c>
      <c r="B3" s="58" t="s">
        <v>9</v>
      </c>
      <c r="C3" s="69">
        <v>8.5</v>
      </c>
      <c r="D3" s="69">
        <v>5.16</v>
      </c>
      <c r="E3" s="69">
        <v>176</v>
      </c>
      <c r="F3" s="69">
        <v>5</v>
      </c>
      <c r="G3" s="69">
        <v>5</v>
      </c>
      <c r="H3" s="69">
        <v>19.25</v>
      </c>
      <c r="I3" s="69">
        <v>13</v>
      </c>
      <c r="J3" s="69">
        <v>19</v>
      </c>
      <c r="K3" s="69">
        <v>33</v>
      </c>
      <c r="L3" s="69">
        <v>38</v>
      </c>
      <c r="M3" s="69">
        <v>1.5</v>
      </c>
      <c r="N3" s="69">
        <v>28</v>
      </c>
      <c r="O3" s="69">
        <v>2</v>
      </c>
      <c r="P3" s="69">
        <v>20</v>
      </c>
      <c r="Q3" s="69">
        <v>10</v>
      </c>
      <c r="R3" s="69">
        <v>15</v>
      </c>
      <c r="S3" s="69">
        <v>10</v>
      </c>
      <c r="T3" s="69">
        <v>5</v>
      </c>
      <c r="U3" s="69">
        <v>31</v>
      </c>
      <c r="V3" s="69">
        <v>38</v>
      </c>
      <c r="W3" s="69">
        <v>60</v>
      </c>
      <c r="X3" s="69">
        <v>40</v>
      </c>
      <c r="Y3" s="69">
        <v>125</v>
      </c>
      <c r="Z3" s="69"/>
      <c r="AA3" s="69"/>
      <c r="AB3" s="69"/>
      <c r="AC3" s="69"/>
      <c r="AD3" s="69"/>
      <c r="AE3" s="69"/>
      <c r="AF3" s="69"/>
    </row>
    <row r="4" spans="1:32" x14ac:dyDescent="0.25">
      <c r="A4" s="96" t="s">
        <v>8</v>
      </c>
      <c r="B4" s="57" t="s">
        <v>9</v>
      </c>
      <c r="C4" s="69">
        <v>45</v>
      </c>
      <c r="D4" s="69">
        <v>45</v>
      </c>
      <c r="E4" s="69">
        <v>34</v>
      </c>
      <c r="F4" s="69">
        <v>35</v>
      </c>
      <c r="G4" s="69">
        <v>5</v>
      </c>
      <c r="H4" s="69">
        <v>8</v>
      </c>
      <c r="I4" s="69">
        <v>20</v>
      </c>
      <c r="J4" s="69">
        <v>16</v>
      </c>
      <c r="K4" s="69">
        <v>78</v>
      </c>
      <c r="L4" s="69">
        <v>58</v>
      </c>
      <c r="M4" s="69">
        <v>18</v>
      </c>
      <c r="N4" s="69">
        <v>55</v>
      </c>
      <c r="O4" s="69">
        <v>2</v>
      </c>
      <c r="P4" s="69">
        <v>1.5</v>
      </c>
      <c r="Q4" s="69">
        <v>96</v>
      </c>
      <c r="R4" s="69">
        <v>43</v>
      </c>
      <c r="S4" s="69">
        <v>2</v>
      </c>
      <c r="T4" s="69">
        <v>5</v>
      </c>
      <c r="U4" s="69">
        <v>78</v>
      </c>
      <c r="V4" s="69">
        <v>4</v>
      </c>
      <c r="W4" s="69">
        <v>16</v>
      </c>
      <c r="X4" s="69">
        <v>20</v>
      </c>
      <c r="Y4" s="69">
        <v>55</v>
      </c>
      <c r="Z4" s="69"/>
      <c r="AA4" s="69"/>
      <c r="AB4" s="69"/>
      <c r="AC4" s="69"/>
      <c r="AD4" s="69"/>
      <c r="AE4" s="69"/>
      <c r="AF4" s="69"/>
    </row>
    <row r="5" spans="1:32" ht="15.75" thickBot="1" x14ac:dyDescent="0.3">
      <c r="A5" s="63" t="s">
        <v>13</v>
      </c>
      <c r="B5" s="64">
        <f>SUM(C5:AF5)</f>
        <v>33020.300000000003</v>
      </c>
      <c r="C5" s="62">
        <f>C2*C3*C4</f>
        <v>1912.5</v>
      </c>
      <c r="D5" s="62">
        <f t="shared" ref="D5:AF5" si="0">D2*D3*D4</f>
        <v>928.80000000000007</v>
      </c>
      <c r="E5" s="62">
        <f t="shared" si="0"/>
        <v>5984</v>
      </c>
      <c r="F5" s="62">
        <f t="shared" si="0"/>
        <v>175</v>
      </c>
      <c r="G5" s="62">
        <f t="shared" si="0"/>
        <v>250</v>
      </c>
      <c r="H5" s="62">
        <f t="shared" si="0"/>
        <v>154</v>
      </c>
      <c r="I5" s="62">
        <f t="shared" si="0"/>
        <v>260</v>
      </c>
      <c r="J5" s="62">
        <f t="shared" si="0"/>
        <v>1216</v>
      </c>
      <c r="K5" s="62">
        <f t="shared" si="0"/>
        <v>2574</v>
      </c>
      <c r="L5" s="62">
        <f t="shared" si="0"/>
        <v>2204</v>
      </c>
      <c r="M5" s="62">
        <f t="shared" si="0"/>
        <v>216</v>
      </c>
      <c r="N5" s="62">
        <f t="shared" si="0"/>
        <v>1540</v>
      </c>
      <c r="O5" s="62">
        <f t="shared" si="0"/>
        <v>24</v>
      </c>
      <c r="P5" s="62">
        <f t="shared" si="0"/>
        <v>480</v>
      </c>
      <c r="Q5" s="62">
        <f t="shared" si="0"/>
        <v>960</v>
      </c>
      <c r="R5" s="62">
        <f t="shared" si="0"/>
        <v>645</v>
      </c>
      <c r="S5" s="62">
        <f t="shared" si="0"/>
        <v>80</v>
      </c>
      <c r="T5" s="62">
        <f t="shared" si="0"/>
        <v>300</v>
      </c>
      <c r="U5" s="62">
        <f t="shared" si="0"/>
        <v>2418</v>
      </c>
      <c r="V5" s="62">
        <f t="shared" si="0"/>
        <v>304</v>
      </c>
      <c r="W5" s="62">
        <f t="shared" si="0"/>
        <v>1920</v>
      </c>
      <c r="X5" s="62">
        <f t="shared" si="0"/>
        <v>1600</v>
      </c>
      <c r="Y5" s="62">
        <f t="shared" si="0"/>
        <v>6875</v>
      </c>
      <c r="Z5" s="62">
        <f t="shared" si="0"/>
        <v>0</v>
      </c>
      <c r="AA5" s="62">
        <f t="shared" si="0"/>
        <v>0</v>
      </c>
      <c r="AB5" s="62">
        <f t="shared" si="0"/>
        <v>0</v>
      </c>
      <c r="AC5" s="62">
        <f t="shared" si="0"/>
        <v>0</v>
      </c>
      <c r="AD5" s="62">
        <f t="shared" si="0"/>
        <v>0</v>
      </c>
      <c r="AE5" s="62">
        <f t="shared" si="0"/>
        <v>0</v>
      </c>
      <c r="AF5" s="62">
        <f t="shared" si="0"/>
        <v>0</v>
      </c>
    </row>
    <row r="6" spans="1:32" ht="15.75" thickTop="1" x14ac:dyDescent="0.25">
      <c r="A6" s="65" t="s">
        <v>18</v>
      </c>
      <c r="B6" s="70">
        <v>13.64</v>
      </c>
    </row>
    <row r="7" spans="1:32" ht="15.75" thickBot="1" x14ac:dyDescent="0.3">
      <c r="A7" s="66" t="s">
        <v>19</v>
      </c>
      <c r="B7" s="73">
        <f>B5*B6</f>
        <v>450396.89200000005</v>
      </c>
      <c r="G7" s="4"/>
      <c r="H7" s="4">
        <v>603319</v>
      </c>
    </row>
    <row r="8" spans="1:32" ht="15.75" thickTop="1" x14ac:dyDescent="0.25">
      <c r="A8" s="72" t="s">
        <v>22</v>
      </c>
      <c r="B8" s="74">
        <f>B7*110%</f>
        <v>495436.58120000007</v>
      </c>
      <c r="G8" s="4"/>
      <c r="H8" s="4"/>
    </row>
    <row r="9" spans="1:32" x14ac:dyDescent="0.25">
      <c r="A9" s="67" t="s">
        <v>17</v>
      </c>
      <c r="B9" s="67" t="s">
        <v>9</v>
      </c>
      <c r="G9" s="4"/>
      <c r="H9" s="4">
        <v>404318</v>
      </c>
    </row>
    <row r="10" spans="1:32" x14ac:dyDescent="0.25">
      <c r="A10" s="49">
        <v>1</v>
      </c>
      <c r="B10" s="50">
        <f t="shared" ref="B10:B21" si="1">$A$2*A10</f>
        <v>8.3333333333333329E-2</v>
      </c>
      <c r="G10" s="4"/>
      <c r="H10" s="4"/>
    </row>
    <row r="11" spans="1:32" x14ac:dyDescent="0.25">
      <c r="A11" s="49">
        <v>2</v>
      </c>
      <c r="B11" s="50">
        <f t="shared" si="1"/>
        <v>0.16666666666666666</v>
      </c>
      <c r="G11" s="4"/>
      <c r="H11" s="4">
        <v>673568</v>
      </c>
    </row>
    <row r="12" spans="1:32" x14ac:dyDescent="0.25">
      <c r="A12" s="49">
        <v>3</v>
      </c>
      <c r="B12" s="50">
        <f t="shared" si="1"/>
        <v>0.25</v>
      </c>
      <c r="G12" s="4"/>
      <c r="H12" s="4">
        <v>426589</v>
      </c>
    </row>
    <row r="13" spans="1:32" x14ac:dyDescent="0.25">
      <c r="A13" s="49">
        <v>4</v>
      </c>
      <c r="B13" s="50">
        <f t="shared" si="1"/>
        <v>0.33333333333333331</v>
      </c>
      <c r="G13" s="4"/>
      <c r="H13" s="4">
        <v>386723</v>
      </c>
    </row>
    <row r="14" spans="1:32" x14ac:dyDescent="0.25">
      <c r="A14" s="49">
        <v>5</v>
      </c>
      <c r="B14" s="50">
        <f t="shared" si="1"/>
        <v>0.41666666666666663</v>
      </c>
      <c r="G14" s="4"/>
      <c r="H14" s="4">
        <v>91792</v>
      </c>
    </row>
    <row r="15" spans="1:32" x14ac:dyDescent="0.25">
      <c r="A15" s="49">
        <v>6</v>
      </c>
      <c r="B15" s="50">
        <f t="shared" si="1"/>
        <v>0.5</v>
      </c>
      <c r="G15" s="4"/>
      <c r="H15" s="4">
        <v>775395</v>
      </c>
    </row>
    <row r="16" spans="1:32" x14ac:dyDescent="0.25">
      <c r="A16" s="49">
        <v>7</v>
      </c>
      <c r="B16" s="50">
        <f t="shared" si="1"/>
        <v>0.58333333333333326</v>
      </c>
      <c r="G16" s="4"/>
      <c r="H16" s="4">
        <v>689856</v>
      </c>
    </row>
    <row r="17" spans="1:8" x14ac:dyDescent="0.25">
      <c r="A17" s="49">
        <v>8</v>
      </c>
      <c r="B17" s="50">
        <f t="shared" si="1"/>
        <v>0.66666666666666663</v>
      </c>
      <c r="G17" s="4"/>
      <c r="H17" s="4"/>
    </row>
    <row r="18" spans="1:8" x14ac:dyDescent="0.25">
      <c r="A18" s="49">
        <v>9</v>
      </c>
      <c r="B18" s="50">
        <f t="shared" si="1"/>
        <v>0.75</v>
      </c>
      <c r="H18" s="104"/>
    </row>
    <row r="19" spans="1:8" x14ac:dyDescent="0.25">
      <c r="A19" s="49">
        <v>10</v>
      </c>
      <c r="B19" s="50">
        <f t="shared" si="1"/>
        <v>0.83333333333333326</v>
      </c>
      <c r="G19" s="4"/>
      <c r="H19" s="4">
        <f>SUM(H7:H18)</f>
        <v>4051560</v>
      </c>
    </row>
    <row r="20" spans="1:8" x14ac:dyDescent="0.25">
      <c r="A20" s="49">
        <v>11</v>
      </c>
      <c r="B20" s="50">
        <f t="shared" si="1"/>
        <v>0.91666666666666663</v>
      </c>
      <c r="G20" s="4"/>
      <c r="H20" s="4"/>
    </row>
    <row r="21" spans="1:8" x14ac:dyDescent="0.25">
      <c r="A21" s="49">
        <v>12</v>
      </c>
      <c r="B21" s="51">
        <f t="shared" si="1"/>
        <v>1</v>
      </c>
      <c r="G21" s="4"/>
      <c r="H21" s="4"/>
    </row>
    <row r="22" spans="1:8" x14ac:dyDescent="0.25">
      <c r="G22" s="4"/>
      <c r="H22" s="4"/>
    </row>
    <row r="23" spans="1:8" x14ac:dyDescent="0.25">
      <c r="G23" s="4"/>
      <c r="H23" s="4"/>
    </row>
    <row r="24" spans="1:8" x14ac:dyDescent="0.25">
      <c r="G24" s="4"/>
      <c r="H24" s="4"/>
    </row>
    <row r="25" spans="1:8" x14ac:dyDescent="0.25">
      <c r="G25" s="4"/>
      <c r="H25" s="4"/>
    </row>
    <row r="26" spans="1:8" x14ac:dyDescent="0.25">
      <c r="G26" s="4"/>
      <c r="H26" s="4"/>
    </row>
    <row r="27" spans="1:8" x14ac:dyDescent="0.25">
      <c r="G27" s="4"/>
      <c r="H27" s="4"/>
    </row>
    <row r="28" spans="1:8" x14ac:dyDescent="0.25">
      <c r="G28" s="4"/>
      <c r="H28" s="4"/>
    </row>
    <row r="29" spans="1:8" x14ac:dyDescent="0.25">
      <c r="G29" s="4"/>
      <c r="H29" s="4"/>
    </row>
    <row r="30" spans="1:8" x14ac:dyDescent="0.25">
      <c r="G30" s="4"/>
      <c r="H30" s="4"/>
    </row>
    <row r="31" spans="1:8" x14ac:dyDescent="0.25">
      <c r="G31" s="4"/>
      <c r="H31" s="4"/>
    </row>
    <row r="32" spans="1:8" x14ac:dyDescent="0.25">
      <c r="G32" s="4"/>
      <c r="H32" s="4"/>
    </row>
    <row r="33" spans="7:8" x14ac:dyDescent="0.25">
      <c r="G33" s="4"/>
      <c r="H33" s="4"/>
    </row>
    <row r="34" spans="7:8" x14ac:dyDescent="0.25">
      <c r="G34" s="4"/>
      <c r="H34" s="4"/>
    </row>
    <row r="35" spans="7:8" x14ac:dyDescent="0.25">
      <c r="G35" s="4"/>
      <c r="H35" s="4"/>
    </row>
    <row r="36" spans="7:8" x14ac:dyDescent="0.25">
      <c r="G36" s="4"/>
      <c r="H36" s="4"/>
    </row>
    <row r="37" spans="7:8" x14ac:dyDescent="0.25">
      <c r="G37" s="4"/>
      <c r="H37" s="4"/>
    </row>
    <row r="38" spans="7:8" x14ac:dyDescent="0.25">
      <c r="G38" s="4"/>
      <c r="H38" s="4"/>
    </row>
    <row r="39" spans="7:8" x14ac:dyDescent="0.25">
      <c r="G39" s="4"/>
      <c r="H39" s="4"/>
    </row>
    <row r="40" spans="7:8" x14ac:dyDescent="0.25">
      <c r="G40" s="4"/>
      <c r="H40" s="4"/>
    </row>
    <row r="41" spans="7:8" x14ac:dyDescent="0.25">
      <c r="G41" s="4"/>
      <c r="H41" s="4"/>
    </row>
    <row r="42" spans="7:8" x14ac:dyDescent="0.25">
      <c r="G42" s="4"/>
      <c r="H42" s="4"/>
    </row>
    <row r="43" spans="7:8" x14ac:dyDescent="0.25">
      <c r="G43" s="4"/>
      <c r="H43" s="4"/>
    </row>
    <row r="44" spans="7:8" x14ac:dyDescent="0.25">
      <c r="G44" s="4"/>
      <c r="H44" s="4"/>
    </row>
    <row r="45" spans="7:8" x14ac:dyDescent="0.25">
      <c r="G45" s="4"/>
      <c r="H45" s="4"/>
    </row>
    <row r="46" spans="7:8" x14ac:dyDescent="0.25">
      <c r="G46" s="4"/>
      <c r="H46" s="4"/>
    </row>
    <row r="47" spans="7:8" x14ac:dyDescent="0.25">
      <c r="G47" s="4"/>
      <c r="H47" s="4"/>
    </row>
    <row r="48" spans="7:8" x14ac:dyDescent="0.25">
      <c r="G48" s="4"/>
      <c r="H48" s="4"/>
    </row>
    <row r="49" spans="7:8" x14ac:dyDescent="0.25">
      <c r="G49" s="4"/>
      <c r="H49" s="4"/>
    </row>
    <row r="50" spans="7:8" x14ac:dyDescent="0.25">
      <c r="G50" s="4"/>
      <c r="H50" s="4"/>
    </row>
    <row r="51" spans="7:8" x14ac:dyDescent="0.25">
      <c r="G51" s="4"/>
      <c r="H51" s="4"/>
    </row>
    <row r="52" spans="7:8" x14ac:dyDescent="0.25">
      <c r="G52" s="4"/>
      <c r="H52" s="4"/>
    </row>
    <row r="53" spans="7:8" x14ac:dyDescent="0.25">
      <c r="G53" s="4"/>
      <c r="H53" s="4"/>
    </row>
    <row r="54" spans="7:8" x14ac:dyDescent="0.25">
      <c r="G54" s="4"/>
      <c r="H54" s="4"/>
    </row>
    <row r="55" spans="7:8" x14ac:dyDescent="0.25">
      <c r="G55" s="4"/>
      <c r="H55" s="4"/>
    </row>
    <row r="56" spans="7:8" x14ac:dyDescent="0.25">
      <c r="G56" s="4"/>
      <c r="H56" s="4"/>
    </row>
    <row r="57" spans="7:8" x14ac:dyDescent="0.25">
      <c r="G57" s="4"/>
      <c r="H57" s="4"/>
    </row>
    <row r="58" spans="7:8" x14ac:dyDescent="0.25">
      <c r="G58" s="4"/>
      <c r="H58" s="4"/>
    </row>
    <row r="59" spans="7:8" x14ac:dyDescent="0.25">
      <c r="G59" s="4"/>
      <c r="H59" s="4"/>
    </row>
    <row r="60" spans="7:8" x14ac:dyDescent="0.25">
      <c r="G60" s="4"/>
      <c r="H60" s="4"/>
    </row>
    <row r="61" spans="7:8" x14ac:dyDescent="0.25">
      <c r="G61" s="4"/>
      <c r="H61" s="4"/>
    </row>
    <row r="62" spans="7:8" x14ac:dyDescent="0.25">
      <c r="G62" s="4"/>
      <c r="H62" s="4"/>
    </row>
    <row r="63" spans="7:8" x14ac:dyDescent="0.25">
      <c r="G63" s="4"/>
      <c r="H63" s="4"/>
    </row>
    <row r="64" spans="7:8" x14ac:dyDescent="0.25">
      <c r="G64" s="4"/>
      <c r="H64" s="4"/>
    </row>
    <row r="65" spans="7:8" x14ac:dyDescent="0.25">
      <c r="G65" s="4"/>
      <c r="H65" s="4"/>
    </row>
    <row r="66" spans="7:8" x14ac:dyDescent="0.25">
      <c r="G66" s="4"/>
      <c r="H66" s="4"/>
    </row>
    <row r="67" spans="7:8" x14ac:dyDescent="0.25">
      <c r="G67" s="4"/>
      <c r="H67" s="4"/>
    </row>
    <row r="68" spans="7:8" x14ac:dyDescent="0.25">
      <c r="G68" s="4"/>
      <c r="H68" s="4"/>
    </row>
    <row r="69" spans="7:8" x14ac:dyDescent="0.25">
      <c r="G69" s="4"/>
      <c r="H69" s="4"/>
    </row>
    <row r="70" spans="7:8" x14ac:dyDescent="0.25">
      <c r="G70" s="4"/>
      <c r="H70" s="4"/>
    </row>
    <row r="71" spans="7:8" x14ac:dyDescent="0.25">
      <c r="G71" s="4"/>
      <c r="H71" s="4"/>
    </row>
  </sheetData>
  <conditionalFormatting sqref="H7:H16">
    <cfRule type="duplicateValues" dxfId="0" priority="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42C1-BCD4-4DF4-8C2C-175261D62518}">
  <sheetPr>
    <tabColor theme="7"/>
  </sheetPr>
  <dimension ref="A1:H16"/>
  <sheetViews>
    <sheetView topLeftCell="A17" zoomScale="120" zoomScaleNormal="120" workbookViewId="0">
      <selection activeCell="C9" sqref="C9"/>
    </sheetView>
  </sheetViews>
  <sheetFormatPr defaultRowHeight="21" x14ac:dyDescent="0.25"/>
  <cols>
    <col min="1" max="1" width="10" style="13" bestFit="1" customWidth="1"/>
    <col min="2" max="2" width="16.140625" style="13" customWidth="1"/>
    <col min="3" max="3" width="24.140625" style="13" customWidth="1"/>
    <col min="4" max="4" width="23" style="17" customWidth="1"/>
    <col min="5" max="5" width="7.85546875" style="13" customWidth="1"/>
    <col min="6" max="7" width="22" style="36" bestFit="1" customWidth="1"/>
    <col min="8" max="8" width="20.5703125" style="13" bestFit="1" customWidth="1"/>
    <col min="9" max="16384" width="9.140625" style="13"/>
  </cols>
  <sheetData>
    <row r="1" spans="1:8" x14ac:dyDescent="0.25">
      <c r="B1" s="13">
        <v>100</v>
      </c>
      <c r="C1" s="14">
        <v>0.15</v>
      </c>
      <c r="D1" s="15" t="s">
        <v>0</v>
      </c>
      <c r="E1" s="16">
        <v>115</v>
      </c>
    </row>
    <row r="2" spans="1:8" x14ac:dyDescent="0.25">
      <c r="C2" s="14"/>
      <c r="D2" s="15"/>
      <c r="E2" s="16"/>
    </row>
    <row r="3" spans="1:8" x14ac:dyDescent="0.25">
      <c r="A3" s="18" t="s">
        <v>4</v>
      </c>
    </row>
    <row r="4" spans="1:8" ht="12.75" customHeight="1" x14ac:dyDescent="0.25">
      <c r="D4" s="13"/>
    </row>
    <row r="5" spans="1:8" ht="33" customHeight="1" x14ac:dyDescent="0.25">
      <c r="A5" s="19" t="s">
        <v>5</v>
      </c>
      <c r="B5" s="11" t="s">
        <v>2</v>
      </c>
      <c r="C5" s="11" t="s">
        <v>1</v>
      </c>
      <c r="D5" s="12" t="s">
        <v>3</v>
      </c>
    </row>
    <row r="6" spans="1:8" x14ac:dyDescent="0.25">
      <c r="A6" s="23">
        <v>0.15</v>
      </c>
      <c r="B6" s="22">
        <v>100</v>
      </c>
      <c r="C6" s="20">
        <f>B6+(B6*A6)</f>
        <v>115</v>
      </c>
      <c r="D6" s="21">
        <f>B6/C6</f>
        <v>0.86956521739130432</v>
      </c>
    </row>
    <row r="7" spans="1:8" x14ac:dyDescent="0.25">
      <c r="A7" s="23">
        <v>0.1</v>
      </c>
      <c r="B7" s="22">
        <v>100</v>
      </c>
      <c r="C7" s="20">
        <f>B7+(B7*A7)</f>
        <v>110</v>
      </c>
      <c r="D7" s="21">
        <f>B7/C7</f>
        <v>0.90909090909090906</v>
      </c>
    </row>
    <row r="8" spans="1:8" x14ac:dyDescent="0.25">
      <c r="A8" s="24">
        <v>7.4999999999999997E-2</v>
      </c>
      <c r="B8" s="22">
        <v>100</v>
      </c>
      <c r="C8" s="20">
        <f>B8+(B8*A8)</f>
        <v>107.5</v>
      </c>
      <c r="D8" s="21">
        <f>B8/C8</f>
        <v>0.93023255813953487</v>
      </c>
    </row>
    <row r="11" spans="1:8" ht="37.5" x14ac:dyDescent="0.25">
      <c r="A11" s="33" t="s">
        <v>6</v>
      </c>
      <c r="B11" s="34" t="s">
        <v>3</v>
      </c>
      <c r="C11" s="35" t="s">
        <v>7</v>
      </c>
      <c r="D11" s="40" t="s">
        <v>15</v>
      </c>
      <c r="F11" s="42" t="s">
        <v>16</v>
      </c>
      <c r="G11" s="42" t="s">
        <v>16</v>
      </c>
      <c r="H11" s="41" t="s">
        <v>14</v>
      </c>
    </row>
    <row r="12" spans="1:8" s="28" customFormat="1" ht="22.5" customHeight="1" x14ac:dyDescent="0.25">
      <c r="A12" s="25">
        <v>0.15</v>
      </c>
      <c r="B12" s="26">
        <v>0.86956521739130399</v>
      </c>
      <c r="C12" s="27">
        <v>72000</v>
      </c>
      <c r="D12" s="27">
        <f>C12*B12</f>
        <v>62608.69565217389</v>
      </c>
      <c r="E12" s="37"/>
      <c r="F12" s="36">
        <f>C12*$E$12</f>
        <v>0</v>
      </c>
      <c r="G12" s="36">
        <f>D12*$E$12</f>
        <v>0</v>
      </c>
      <c r="H12" s="39">
        <f>C12-D12</f>
        <v>9391.3043478261097</v>
      </c>
    </row>
    <row r="13" spans="1:8" s="28" customFormat="1" ht="22.5" customHeight="1" x14ac:dyDescent="0.25">
      <c r="A13" s="25">
        <v>0.15</v>
      </c>
      <c r="B13" s="26">
        <v>0.86956521739130399</v>
      </c>
      <c r="C13" s="27">
        <v>2200</v>
      </c>
      <c r="D13" s="27">
        <f>C13*B13</f>
        <v>1913.0434782608688</v>
      </c>
      <c r="E13" s="37">
        <v>1</v>
      </c>
      <c r="F13" s="36">
        <f>C13*$E$13</f>
        <v>2200</v>
      </c>
      <c r="G13" s="36">
        <f>D13*$E$13</f>
        <v>1913.0434782608688</v>
      </c>
      <c r="H13" s="39">
        <f t="shared" ref="H13:H16" si="0">C13-D13</f>
        <v>286.95652173913118</v>
      </c>
    </row>
    <row r="14" spans="1:8" s="28" customFormat="1" ht="22.5" customHeight="1" x14ac:dyDescent="0.25">
      <c r="A14" s="30">
        <v>0.1</v>
      </c>
      <c r="B14" s="31">
        <v>0.90909090909090906</v>
      </c>
      <c r="C14" s="32">
        <v>2200</v>
      </c>
      <c r="D14" s="32">
        <f>C14*B14</f>
        <v>2000</v>
      </c>
      <c r="E14" s="37"/>
      <c r="F14" s="36">
        <f>C14*$E$14</f>
        <v>0</v>
      </c>
      <c r="G14" s="36">
        <f>D14*$E$14</f>
        <v>0</v>
      </c>
      <c r="H14" s="39">
        <f t="shared" si="0"/>
        <v>200</v>
      </c>
    </row>
    <row r="15" spans="1:8" s="28" customFormat="1" ht="22.5" customHeight="1" x14ac:dyDescent="0.25">
      <c r="A15" s="30">
        <v>0.1</v>
      </c>
      <c r="B15" s="31">
        <v>0.90909090909090906</v>
      </c>
      <c r="C15" s="32"/>
      <c r="D15" s="32">
        <f>C15*B15</f>
        <v>0</v>
      </c>
      <c r="E15" s="37"/>
      <c r="F15" s="36">
        <f>C15*$E$15</f>
        <v>0</v>
      </c>
      <c r="G15" s="36">
        <f>D15*$E$15</f>
        <v>0</v>
      </c>
      <c r="H15" s="39">
        <f t="shared" si="0"/>
        <v>0</v>
      </c>
    </row>
    <row r="16" spans="1:8" s="28" customFormat="1" ht="22.5" customHeight="1" x14ac:dyDescent="0.25">
      <c r="A16" s="29">
        <v>7.4999999999999997E-2</v>
      </c>
      <c r="B16" s="26">
        <v>0.93023255813953487</v>
      </c>
      <c r="C16" s="27"/>
      <c r="D16" s="27">
        <f>C16*B16</f>
        <v>0</v>
      </c>
      <c r="E16" s="37"/>
      <c r="F16" s="36">
        <f>C16*$E$16</f>
        <v>0</v>
      </c>
      <c r="G16" s="36">
        <f>D16*$E$16</f>
        <v>0</v>
      </c>
      <c r="H16" s="39">
        <f t="shared" si="0"/>
        <v>0</v>
      </c>
    </row>
  </sheetData>
  <sheetProtection password="CEDB" sheet="1" objects="1" scenarios="1"/>
  <pageMargins left="0.7" right="0.7" top="0.75" bottom="0.75" header="0.3" footer="0.3"/>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5F91-32DB-444B-A1B9-0FEC4D255FAA}">
  <dimension ref="A1:C21"/>
  <sheetViews>
    <sheetView workbookViewId="0">
      <selection sqref="A1:C1"/>
    </sheetView>
  </sheetViews>
  <sheetFormatPr defaultRowHeight="15" x14ac:dyDescent="0.25"/>
  <cols>
    <col min="1" max="2" width="22.28515625" customWidth="1"/>
    <col min="3" max="3" width="22.28515625" style="3" customWidth="1"/>
    <col min="4" max="5" width="22.28515625" customWidth="1"/>
  </cols>
  <sheetData>
    <row r="1" spans="1:3" x14ac:dyDescent="0.25">
      <c r="A1">
        <v>75</v>
      </c>
      <c r="B1">
        <v>67</v>
      </c>
      <c r="C1" s="3">
        <f>(A1*B1)/144</f>
        <v>34.895833333333336</v>
      </c>
    </row>
    <row r="2" spans="1:3" x14ac:dyDescent="0.25">
      <c r="A2">
        <v>47</v>
      </c>
      <c r="B2">
        <v>67</v>
      </c>
      <c r="C2" s="3">
        <f t="shared" ref="C2:C19" si="0">(A2*B2)/144</f>
        <v>21.868055555555557</v>
      </c>
    </row>
    <row r="3" spans="1:3" x14ac:dyDescent="0.25">
      <c r="A3">
        <v>46</v>
      </c>
      <c r="B3">
        <v>67</v>
      </c>
      <c r="C3" s="3">
        <f t="shared" si="0"/>
        <v>21.402777777777779</v>
      </c>
    </row>
    <row r="4" spans="1:3" x14ac:dyDescent="0.25">
      <c r="A4">
        <v>57</v>
      </c>
      <c r="B4">
        <v>67</v>
      </c>
      <c r="C4" s="3">
        <f t="shared" si="0"/>
        <v>26.520833333333332</v>
      </c>
    </row>
    <row r="5" spans="1:3" x14ac:dyDescent="0.25">
      <c r="A5">
        <v>47</v>
      </c>
      <c r="B5">
        <v>67</v>
      </c>
      <c r="C5" s="3">
        <f t="shared" si="0"/>
        <v>21.868055555555557</v>
      </c>
    </row>
    <row r="6" spans="1:3" x14ac:dyDescent="0.25">
      <c r="A6">
        <v>62</v>
      </c>
      <c r="B6">
        <v>67</v>
      </c>
      <c r="C6" s="3">
        <f t="shared" si="0"/>
        <v>28.847222222222221</v>
      </c>
    </row>
    <row r="7" spans="1:3" x14ac:dyDescent="0.25">
      <c r="C7" s="3">
        <f t="shared" si="0"/>
        <v>0</v>
      </c>
    </row>
    <row r="8" spans="1:3" x14ac:dyDescent="0.25">
      <c r="C8" s="3">
        <f t="shared" si="0"/>
        <v>0</v>
      </c>
    </row>
    <row r="9" spans="1:3" x14ac:dyDescent="0.25">
      <c r="C9" s="3">
        <f t="shared" si="0"/>
        <v>0</v>
      </c>
    </row>
    <row r="10" spans="1:3" x14ac:dyDescent="0.25">
      <c r="C10" s="3">
        <f t="shared" si="0"/>
        <v>0</v>
      </c>
    </row>
    <row r="11" spans="1:3" x14ac:dyDescent="0.25">
      <c r="C11" s="3">
        <f t="shared" si="0"/>
        <v>0</v>
      </c>
    </row>
    <row r="12" spans="1:3" x14ac:dyDescent="0.25">
      <c r="C12" s="3">
        <f t="shared" si="0"/>
        <v>0</v>
      </c>
    </row>
    <row r="13" spans="1:3" x14ac:dyDescent="0.25">
      <c r="C13" s="3">
        <f t="shared" si="0"/>
        <v>0</v>
      </c>
    </row>
    <row r="14" spans="1:3" x14ac:dyDescent="0.25">
      <c r="C14" s="3">
        <f t="shared" si="0"/>
        <v>0</v>
      </c>
    </row>
    <row r="15" spans="1:3" x14ac:dyDescent="0.25">
      <c r="C15" s="3">
        <f t="shared" si="0"/>
        <v>0</v>
      </c>
    </row>
    <row r="16" spans="1:3" x14ac:dyDescent="0.25">
      <c r="C16" s="3">
        <f t="shared" si="0"/>
        <v>0</v>
      </c>
    </row>
    <row r="17" spans="3:3" x14ac:dyDescent="0.25">
      <c r="C17" s="3">
        <f t="shared" si="0"/>
        <v>0</v>
      </c>
    </row>
    <row r="18" spans="3:3" x14ac:dyDescent="0.25">
      <c r="C18" s="3">
        <f t="shared" si="0"/>
        <v>0</v>
      </c>
    </row>
    <row r="19" spans="3:3" x14ac:dyDescent="0.25">
      <c r="C19" s="3">
        <f t="shared" si="0"/>
        <v>0</v>
      </c>
    </row>
    <row r="20" spans="3:3" ht="15.75" thickBot="1" x14ac:dyDescent="0.3">
      <c r="C20" s="38">
        <f>SUM(C1:C19)</f>
        <v>155.40277777777777</v>
      </c>
    </row>
    <row r="21" spans="3:3" ht="15.75" thickTop="1" x14ac:dyDescent="0.25"/>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7C93-E756-4248-92B2-1A768D0F2224}">
  <dimension ref="A1:K33"/>
  <sheetViews>
    <sheetView zoomScale="150" zoomScaleNormal="150" workbookViewId="0">
      <selection activeCell="G5" sqref="G5"/>
    </sheetView>
  </sheetViews>
  <sheetFormatPr defaultColWidth="12.7109375" defaultRowHeight="15" x14ac:dyDescent="0.25"/>
  <cols>
    <col min="1" max="1" width="8" style="53" bestFit="1" customWidth="1"/>
    <col min="2" max="3" width="12.7109375" style="9"/>
    <col min="4" max="5" width="12.7109375" style="7"/>
    <col min="6" max="7" width="12.7109375" style="2"/>
    <col min="8" max="8" width="12.7109375" style="54"/>
    <col min="9" max="9" width="12.7109375" style="6"/>
    <col min="10" max="10" width="7" style="2" customWidth="1"/>
    <col min="11" max="11" width="6.85546875" style="4" customWidth="1"/>
    <col min="12" max="16384" width="12.7109375" style="2"/>
  </cols>
  <sheetData>
    <row r="1" spans="1:11" x14ac:dyDescent="0.25">
      <c r="A1" s="52">
        <f>1/12</f>
        <v>8.3333333333333329E-2</v>
      </c>
      <c r="B1" s="107" t="s">
        <v>11</v>
      </c>
      <c r="C1" s="107"/>
      <c r="D1" s="108" t="s">
        <v>8</v>
      </c>
      <c r="E1" s="108"/>
      <c r="F1" s="109" t="s">
        <v>12</v>
      </c>
      <c r="G1" s="109"/>
      <c r="H1" s="54">
        <f>H32</f>
        <v>1315.5318287037037</v>
      </c>
      <c r="I1" s="4" t="str">
        <f>"Tk."&amp;H1*I2*110%</f>
        <v>Tk.19738.2395578704</v>
      </c>
      <c r="J1" s="48" t="s">
        <v>17</v>
      </c>
      <c r="K1" s="48" t="s">
        <v>9</v>
      </c>
    </row>
    <row r="2" spans="1:11" customFormat="1" x14ac:dyDescent="0.25">
      <c r="A2" s="48" t="s">
        <v>10</v>
      </c>
      <c r="B2" s="48" t="s">
        <v>9</v>
      </c>
      <c r="C2" s="48" t="s">
        <v>17</v>
      </c>
      <c r="D2" s="48" t="s">
        <v>9</v>
      </c>
      <c r="E2" s="48" t="s">
        <v>17</v>
      </c>
      <c r="F2" s="48" t="s">
        <v>9</v>
      </c>
      <c r="G2" s="48" t="s">
        <v>17</v>
      </c>
      <c r="H2" s="55" t="s">
        <v>13</v>
      </c>
      <c r="I2" s="3">
        <v>13.64</v>
      </c>
      <c r="J2" s="49">
        <v>1</v>
      </c>
      <c r="K2" s="50">
        <f t="shared" ref="K2:K13" si="0">$A$1*J2</f>
        <v>8.3333333333333329E-2</v>
      </c>
    </row>
    <row r="3" spans="1:11" customFormat="1" x14ac:dyDescent="0.25">
      <c r="A3" s="49">
        <v>1</v>
      </c>
      <c r="B3" s="10">
        <v>11</v>
      </c>
      <c r="C3" s="10">
        <v>2</v>
      </c>
      <c r="D3" s="8">
        <v>6</v>
      </c>
      <c r="E3" s="8">
        <v>7</v>
      </c>
      <c r="F3" s="1">
        <v>2</v>
      </c>
      <c r="G3" s="1">
        <v>2</v>
      </c>
      <c r="H3" s="55">
        <f t="shared" ref="H3:H31" si="1">A3*((B3+(C3*$A$1))*(D3+(E3*$A$1))*(F3+(G3*$A$1)))</f>
        <v>159.28009259259258</v>
      </c>
      <c r="I3" s="5"/>
      <c r="J3" s="49">
        <v>2</v>
      </c>
      <c r="K3" s="50">
        <f t="shared" si="0"/>
        <v>0.16666666666666666</v>
      </c>
    </row>
    <row r="4" spans="1:11" customFormat="1" x14ac:dyDescent="0.25">
      <c r="A4" s="49">
        <v>1</v>
      </c>
      <c r="B4" s="10">
        <v>11</v>
      </c>
      <c r="C4" s="10">
        <v>3</v>
      </c>
      <c r="D4" s="8">
        <v>6</v>
      </c>
      <c r="E4" s="8">
        <v>9</v>
      </c>
      <c r="F4" s="1">
        <v>2</v>
      </c>
      <c r="G4" s="1">
        <v>1.5</v>
      </c>
      <c r="H4" s="55">
        <f t="shared" si="1"/>
        <v>161.3671875</v>
      </c>
      <c r="I4" s="5"/>
      <c r="J4" s="49">
        <v>3</v>
      </c>
      <c r="K4" s="50">
        <f t="shared" si="0"/>
        <v>0.25</v>
      </c>
    </row>
    <row r="5" spans="1:11" customFormat="1" x14ac:dyDescent="0.25">
      <c r="A5" s="49">
        <v>80</v>
      </c>
      <c r="B5" s="10">
        <v>2</v>
      </c>
      <c r="C5" s="10">
        <v>6</v>
      </c>
      <c r="D5" s="8">
        <v>2</v>
      </c>
      <c r="E5" s="8">
        <v>6</v>
      </c>
      <c r="F5" s="1">
        <v>1</v>
      </c>
      <c r="G5" s="1"/>
      <c r="H5" s="55">
        <f t="shared" si="1"/>
        <v>500</v>
      </c>
      <c r="I5" s="5"/>
      <c r="J5" s="49">
        <v>4</v>
      </c>
      <c r="K5" s="50">
        <f t="shared" si="0"/>
        <v>0.33333333333333331</v>
      </c>
    </row>
    <row r="6" spans="1:11" customFormat="1" x14ac:dyDescent="0.25">
      <c r="A6" s="49">
        <v>1</v>
      </c>
      <c r="B6" s="10">
        <v>11</v>
      </c>
      <c r="C6" s="10">
        <v>3</v>
      </c>
      <c r="D6" s="8">
        <v>6</v>
      </c>
      <c r="E6" s="8">
        <v>9</v>
      </c>
      <c r="F6" s="1">
        <v>2</v>
      </c>
      <c r="G6" s="1">
        <v>2.5</v>
      </c>
      <c r="H6" s="55">
        <f t="shared" si="1"/>
        <v>167.6953125</v>
      </c>
      <c r="I6" s="5"/>
      <c r="J6" s="49">
        <v>5</v>
      </c>
      <c r="K6" s="50">
        <f t="shared" si="0"/>
        <v>0.41666666666666663</v>
      </c>
    </row>
    <row r="7" spans="1:11" customFormat="1" x14ac:dyDescent="0.25">
      <c r="A7" s="49">
        <v>1</v>
      </c>
      <c r="B7" s="10">
        <v>11</v>
      </c>
      <c r="C7" s="10">
        <v>1</v>
      </c>
      <c r="D7" s="8">
        <v>6.5</v>
      </c>
      <c r="E7" s="8"/>
      <c r="F7" s="1">
        <v>2</v>
      </c>
      <c r="G7" s="1">
        <v>3</v>
      </c>
      <c r="H7" s="55">
        <f t="shared" si="1"/>
        <v>162.09375</v>
      </c>
      <c r="I7" s="5"/>
      <c r="J7" s="49">
        <v>6</v>
      </c>
      <c r="K7" s="50">
        <f t="shared" si="0"/>
        <v>0.5</v>
      </c>
    </row>
    <row r="8" spans="1:11" customFormat="1" x14ac:dyDescent="0.25">
      <c r="A8" s="49">
        <v>1</v>
      </c>
      <c r="B8" s="10">
        <v>11</v>
      </c>
      <c r="C8" s="10">
        <v>1</v>
      </c>
      <c r="D8" s="8">
        <v>6.5</v>
      </c>
      <c r="E8" s="8"/>
      <c r="F8" s="1">
        <v>2</v>
      </c>
      <c r="G8" s="1">
        <v>3.5</v>
      </c>
      <c r="H8" s="55">
        <f t="shared" si="1"/>
        <v>165.09548611111111</v>
      </c>
      <c r="I8" s="5"/>
      <c r="J8" s="49">
        <v>7</v>
      </c>
      <c r="K8" s="50">
        <f t="shared" si="0"/>
        <v>0.58333333333333326</v>
      </c>
    </row>
    <row r="9" spans="1:11" customFormat="1" x14ac:dyDescent="0.25">
      <c r="A9" s="49">
        <v>1</v>
      </c>
      <c r="B9" s="10"/>
      <c r="C9" s="10"/>
      <c r="D9" s="8"/>
      <c r="E9" s="8"/>
      <c r="F9" s="1"/>
      <c r="G9" s="1"/>
      <c r="H9" s="55">
        <f t="shared" si="1"/>
        <v>0</v>
      </c>
      <c r="I9" s="5"/>
      <c r="J9" s="49">
        <v>8</v>
      </c>
      <c r="K9" s="50">
        <f t="shared" si="0"/>
        <v>0.66666666666666663</v>
      </c>
    </row>
    <row r="10" spans="1:11" customFormat="1" x14ac:dyDescent="0.25">
      <c r="A10" s="49">
        <v>1</v>
      </c>
      <c r="B10" s="10"/>
      <c r="C10" s="10"/>
      <c r="D10" s="8"/>
      <c r="E10" s="8"/>
      <c r="F10" s="1"/>
      <c r="G10" s="1"/>
      <c r="H10" s="55">
        <f t="shared" si="1"/>
        <v>0</v>
      </c>
      <c r="I10" s="5"/>
      <c r="J10" s="49">
        <v>9</v>
      </c>
      <c r="K10" s="50">
        <f t="shared" si="0"/>
        <v>0.75</v>
      </c>
    </row>
    <row r="11" spans="1:11" customFormat="1" x14ac:dyDescent="0.25">
      <c r="A11" s="49">
        <v>1</v>
      </c>
      <c r="B11" s="10"/>
      <c r="C11" s="10"/>
      <c r="D11" s="8"/>
      <c r="E11" s="8"/>
      <c r="F11" s="1"/>
      <c r="G11" s="1"/>
      <c r="H11" s="55">
        <f t="shared" si="1"/>
        <v>0</v>
      </c>
      <c r="I11" s="5"/>
      <c r="J11" s="49">
        <v>10</v>
      </c>
      <c r="K11" s="50">
        <f t="shared" si="0"/>
        <v>0.83333333333333326</v>
      </c>
    </row>
    <row r="12" spans="1:11" customFormat="1" x14ac:dyDescent="0.25">
      <c r="A12" s="49">
        <v>1</v>
      </c>
      <c r="B12" s="10"/>
      <c r="C12" s="10"/>
      <c r="D12" s="8"/>
      <c r="E12" s="8"/>
      <c r="F12" s="1"/>
      <c r="G12" s="1"/>
      <c r="H12" s="55">
        <f t="shared" si="1"/>
        <v>0</v>
      </c>
      <c r="I12" s="5"/>
      <c r="J12" s="49">
        <v>11</v>
      </c>
      <c r="K12" s="50">
        <f t="shared" si="0"/>
        <v>0.91666666666666663</v>
      </c>
    </row>
    <row r="13" spans="1:11" customFormat="1" x14ac:dyDescent="0.25">
      <c r="A13" s="49">
        <v>1</v>
      </c>
      <c r="B13" s="10"/>
      <c r="C13" s="10"/>
      <c r="D13" s="8"/>
      <c r="E13" s="8"/>
      <c r="F13" s="1"/>
      <c r="G13" s="1"/>
      <c r="H13" s="55">
        <f t="shared" si="1"/>
        <v>0</v>
      </c>
      <c r="I13" s="5"/>
      <c r="J13" s="49">
        <v>12</v>
      </c>
      <c r="K13" s="51">
        <f t="shared" si="0"/>
        <v>1</v>
      </c>
    </row>
    <row r="14" spans="1:11" customFormat="1" x14ac:dyDescent="0.25">
      <c r="A14" s="49">
        <v>1</v>
      </c>
      <c r="B14" s="10"/>
      <c r="C14" s="10"/>
      <c r="D14" s="8"/>
      <c r="E14" s="8"/>
      <c r="F14" s="1"/>
      <c r="G14" s="1"/>
      <c r="H14" s="55">
        <f t="shared" si="1"/>
        <v>0</v>
      </c>
      <c r="I14" s="5"/>
      <c r="K14" s="3"/>
    </row>
    <row r="15" spans="1:11" customFormat="1" x14ac:dyDescent="0.25">
      <c r="A15" s="49">
        <v>1</v>
      </c>
      <c r="B15" s="10"/>
      <c r="C15" s="10"/>
      <c r="D15" s="8"/>
      <c r="E15" s="8"/>
      <c r="F15" s="1"/>
      <c r="G15" s="1"/>
      <c r="H15" s="55">
        <f t="shared" si="1"/>
        <v>0</v>
      </c>
      <c r="I15" s="5"/>
      <c r="K15" s="3"/>
    </row>
    <row r="16" spans="1:11" customFormat="1" x14ac:dyDescent="0.25">
      <c r="A16" s="49">
        <v>1</v>
      </c>
      <c r="B16" s="10"/>
      <c r="C16" s="10"/>
      <c r="D16" s="8"/>
      <c r="E16" s="8"/>
      <c r="F16" s="1"/>
      <c r="G16" s="1"/>
      <c r="H16" s="55">
        <f t="shared" si="1"/>
        <v>0</v>
      </c>
      <c r="I16" s="5"/>
      <c r="K16" s="3"/>
    </row>
    <row r="17" spans="1:11" customFormat="1" x14ac:dyDescent="0.25">
      <c r="A17" s="49">
        <v>1</v>
      </c>
      <c r="B17" s="10"/>
      <c r="C17" s="10"/>
      <c r="D17" s="8"/>
      <c r="E17" s="8"/>
      <c r="F17" s="1"/>
      <c r="G17" s="1"/>
      <c r="H17" s="55">
        <f t="shared" si="1"/>
        <v>0</v>
      </c>
      <c r="I17" s="5"/>
      <c r="K17" s="3"/>
    </row>
    <row r="18" spans="1:11" customFormat="1" x14ac:dyDescent="0.25">
      <c r="A18" s="49">
        <v>1</v>
      </c>
      <c r="B18" s="10"/>
      <c r="C18" s="10"/>
      <c r="D18" s="8"/>
      <c r="E18" s="8"/>
      <c r="F18" s="1"/>
      <c r="G18" s="1"/>
      <c r="H18" s="55">
        <f t="shared" si="1"/>
        <v>0</v>
      </c>
      <c r="I18" s="5"/>
      <c r="K18" s="3"/>
    </row>
    <row r="19" spans="1:11" customFormat="1" x14ac:dyDescent="0.25">
      <c r="A19" s="49">
        <v>1</v>
      </c>
      <c r="B19" s="10"/>
      <c r="C19" s="10"/>
      <c r="D19" s="8"/>
      <c r="E19" s="8"/>
      <c r="F19" s="1"/>
      <c r="G19" s="1"/>
      <c r="H19" s="55">
        <f t="shared" si="1"/>
        <v>0</v>
      </c>
      <c r="I19" s="5"/>
      <c r="K19" s="3"/>
    </row>
    <row r="20" spans="1:11" customFormat="1" x14ac:dyDescent="0.25">
      <c r="A20" s="49">
        <v>1</v>
      </c>
      <c r="B20" s="10"/>
      <c r="C20" s="10"/>
      <c r="D20" s="8"/>
      <c r="E20" s="8"/>
      <c r="F20" s="1"/>
      <c r="G20" s="1"/>
      <c r="H20" s="55">
        <f t="shared" si="1"/>
        <v>0</v>
      </c>
      <c r="I20" s="5"/>
      <c r="K20" s="3"/>
    </row>
    <row r="21" spans="1:11" customFormat="1" x14ac:dyDescent="0.25">
      <c r="A21" s="49">
        <v>1</v>
      </c>
      <c r="B21" s="10"/>
      <c r="C21" s="10"/>
      <c r="D21" s="8"/>
      <c r="E21" s="8"/>
      <c r="F21" s="1"/>
      <c r="G21" s="1"/>
      <c r="H21" s="55">
        <f t="shared" si="1"/>
        <v>0</v>
      </c>
      <c r="I21" s="5"/>
      <c r="K21" s="3"/>
    </row>
    <row r="22" spans="1:11" customFormat="1" x14ac:dyDescent="0.25">
      <c r="A22" s="49">
        <v>1</v>
      </c>
      <c r="B22" s="10"/>
      <c r="C22" s="10"/>
      <c r="D22" s="8"/>
      <c r="E22" s="8"/>
      <c r="F22" s="1"/>
      <c r="G22" s="1"/>
      <c r="H22" s="55">
        <f t="shared" si="1"/>
        <v>0</v>
      </c>
      <c r="I22" s="5"/>
      <c r="K22" s="3"/>
    </row>
    <row r="23" spans="1:11" customFormat="1" x14ac:dyDescent="0.25">
      <c r="A23" s="49">
        <v>1</v>
      </c>
      <c r="B23" s="10"/>
      <c r="C23" s="10"/>
      <c r="D23" s="8"/>
      <c r="E23" s="8"/>
      <c r="F23" s="1"/>
      <c r="G23" s="1"/>
      <c r="H23" s="55">
        <f t="shared" si="1"/>
        <v>0</v>
      </c>
      <c r="I23" s="5"/>
      <c r="K23" s="3"/>
    </row>
    <row r="24" spans="1:11" customFormat="1" x14ac:dyDescent="0.25">
      <c r="A24" s="49">
        <v>1</v>
      </c>
      <c r="B24" s="10"/>
      <c r="C24" s="10"/>
      <c r="D24" s="8"/>
      <c r="E24" s="8"/>
      <c r="F24" s="1"/>
      <c r="G24" s="1"/>
      <c r="H24" s="55">
        <f t="shared" si="1"/>
        <v>0</v>
      </c>
      <c r="I24" s="5"/>
      <c r="K24" s="3"/>
    </row>
    <row r="25" spans="1:11" customFormat="1" x14ac:dyDescent="0.25">
      <c r="A25" s="49">
        <v>1</v>
      </c>
      <c r="B25" s="10"/>
      <c r="C25" s="10"/>
      <c r="D25" s="8"/>
      <c r="E25" s="8"/>
      <c r="F25" s="1"/>
      <c r="G25" s="1"/>
      <c r="H25" s="55">
        <f t="shared" si="1"/>
        <v>0</v>
      </c>
      <c r="I25" s="5"/>
      <c r="K25" s="3"/>
    </row>
    <row r="26" spans="1:11" customFormat="1" x14ac:dyDescent="0.25">
      <c r="A26" s="49">
        <v>1</v>
      </c>
      <c r="B26" s="10"/>
      <c r="C26" s="10"/>
      <c r="D26" s="8"/>
      <c r="E26" s="8"/>
      <c r="F26" s="1"/>
      <c r="G26" s="1"/>
      <c r="H26" s="55">
        <f t="shared" si="1"/>
        <v>0</v>
      </c>
      <c r="I26" s="5"/>
      <c r="K26" s="3"/>
    </row>
    <row r="27" spans="1:11" customFormat="1" x14ac:dyDescent="0.25">
      <c r="A27" s="49">
        <v>1</v>
      </c>
      <c r="B27" s="10"/>
      <c r="C27" s="10"/>
      <c r="D27" s="8"/>
      <c r="E27" s="8"/>
      <c r="F27" s="1"/>
      <c r="G27" s="1"/>
      <c r="H27" s="55">
        <f t="shared" si="1"/>
        <v>0</v>
      </c>
      <c r="I27" s="5"/>
      <c r="K27" s="3"/>
    </row>
    <row r="28" spans="1:11" customFormat="1" x14ac:dyDescent="0.25">
      <c r="A28" s="49">
        <v>1</v>
      </c>
      <c r="B28" s="10"/>
      <c r="C28" s="10"/>
      <c r="D28" s="8"/>
      <c r="E28" s="8"/>
      <c r="F28" s="1"/>
      <c r="G28" s="1"/>
      <c r="H28" s="55">
        <f t="shared" si="1"/>
        <v>0</v>
      </c>
      <c r="I28" s="5"/>
      <c r="K28" s="3"/>
    </row>
    <row r="29" spans="1:11" customFormat="1" x14ac:dyDescent="0.25">
      <c r="A29" s="49">
        <v>1</v>
      </c>
      <c r="B29" s="10"/>
      <c r="C29" s="10"/>
      <c r="D29" s="8"/>
      <c r="E29" s="8"/>
      <c r="F29" s="1"/>
      <c r="G29" s="1"/>
      <c r="H29" s="55">
        <f t="shared" si="1"/>
        <v>0</v>
      </c>
      <c r="I29" s="5"/>
      <c r="K29" s="3"/>
    </row>
    <row r="30" spans="1:11" customFormat="1" x14ac:dyDescent="0.25">
      <c r="A30" s="49">
        <v>1</v>
      </c>
      <c r="B30" s="10"/>
      <c r="C30" s="10"/>
      <c r="D30" s="8"/>
      <c r="E30" s="8"/>
      <c r="F30" s="1"/>
      <c r="G30" s="1"/>
      <c r="H30" s="55">
        <f t="shared" si="1"/>
        <v>0</v>
      </c>
      <c r="I30" s="5"/>
      <c r="K30" s="3"/>
    </row>
    <row r="31" spans="1:11" customFormat="1" x14ac:dyDescent="0.25">
      <c r="A31" s="49">
        <v>1</v>
      </c>
      <c r="B31" s="10"/>
      <c r="C31" s="10"/>
      <c r="D31" s="8"/>
      <c r="E31" s="8"/>
      <c r="F31" s="1"/>
      <c r="G31" s="1"/>
      <c r="H31" s="55">
        <f t="shared" si="1"/>
        <v>0</v>
      </c>
      <c r="I31" s="5"/>
      <c r="K31" s="3"/>
    </row>
    <row r="32" spans="1:11" ht="15.75" thickBot="1" x14ac:dyDescent="0.3">
      <c r="H32" s="56">
        <f>SUM(H3:H31)</f>
        <v>1315.5318287037037</v>
      </c>
    </row>
    <row r="33" ht="15.75" thickTop="1" x14ac:dyDescent="0.25"/>
  </sheetData>
  <mergeCells count="3">
    <mergeCell ref="B1:C1"/>
    <mergeCell ref="D1:E1"/>
    <mergeCell ref="F1:G1"/>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A47B6-A586-463E-A1AD-B232B6AA1791}">
  <dimension ref="A1:G39"/>
  <sheetViews>
    <sheetView topLeftCell="A15" zoomScale="130" zoomScaleNormal="130" workbookViewId="0">
      <selection activeCell="I24" sqref="I24"/>
    </sheetView>
  </sheetViews>
  <sheetFormatPr defaultRowHeight="15" x14ac:dyDescent="0.25"/>
  <cols>
    <col min="2" max="2" width="16" style="3" customWidth="1"/>
  </cols>
  <sheetData>
    <row r="1" spans="1:7" x14ac:dyDescent="0.25">
      <c r="A1" s="94">
        <v>46235</v>
      </c>
      <c r="B1" s="3">
        <v>15000</v>
      </c>
    </row>
    <row r="2" spans="1:7" x14ac:dyDescent="0.25">
      <c r="A2">
        <v>5</v>
      </c>
      <c r="B2" s="3">
        <v>10000</v>
      </c>
      <c r="C2" t="s">
        <v>94</v>
      </c>
    </row>
    <row r="3" spans="1:7" x14ac:dyDescent="0.25">
      <c r="A3">
        <v>7</v>
      </c>
      <c r="B3" s="3">
        <v>5000</v>
      </c>
      <c r="C3" t="s">
        <v>98</v>
      </c>
    </row>
    <row r="4" spans="1:7" x14ac:dyDescent="0.25">
      <c r="B4" s="3">
        <v>0</v>
      </c>
      <c r="D4">
        <v>13968</v>
      </c>
      <c r="E4" s="94">
        <v>46243</v>
      </c>
    </row>
    <row r="5" spans="1:7" x14ac:dyDescent="0.25">
      <c r="D5">
        <v>43320</v>
      </c>
      <c r="E5" s="94">
        <v>46247</v>
      </c>
    </row>
    <row r="6" spans="1:7" x14ac:dyDescent="0.25">
      <c r="A6">
        <v>10</v>
      </c>
      <c r="B6" s="3">
        <v>10000</v>
      </c>
      <c r="C6" t="s">
        <v>95</v>
      </c>
    </row>
    <row r="7" spans="1:7" x14ac:dyDescent="0.25">
      <c r="A7">
        <v>13</v>
      </c>
      <c r="B7" s="3">
        <v>5000</v>
      </c>
      <c r="C7" t="s">
        <v>94</v>
      </c>
      <c r="D7" s="90">
        <f>SUM(D4:D5)</f>
        <v>57288</v>
      </c>
    </row>
    <row r="8" spans="1:7" x14ac:dyDescent="0.25">
      <c r="A8">
        <v>14</v>
      </c>
      <c r="B8" s="3">
        <v>10000</v>
      </c>
    </row>
    <row r="9" spans="1:7" x14ac:dyDescent="0.25">
      <c r="A9">
        <v>18</v>
      </c>
      <c r="B9" s="3">
        <v>2991</v>
      </c>
      <c r="G9" t="s">
        <v>99</v>
      </c>
    </row>
    <row r="10" spans="1:7" x14ac:dyDescent="0.25">
      <c r="A10">
        <v>20</v>
      </c>
      <c r="B10" s="3">
        <v>2240</v>
      </c>
      <c r="C10" t="s">
        <v>96</v>
      </c>
    </row>
    <row r="11" spans="1:7" x14ac:dyDescent="0.25">
      <c r="A11">
        <v>21</v>
      </c>
      <c r="B11" s="3">
        <v>10000</v>
      </c>
    </row>
    <row r="12" spans="1:7" x14ac:dyDescent="0.25">
      <c r="A12">
        <v>25</v>
      </c>
      <c r="B12" s="3">
        <v>10000</v>
      </c>
    </row>
    <row r="13" spans="1:7" x14ac:dyDescent="0.25">
      <c r="A13">
        <v>25</v>
      </c>
      <c r="B13" s="3">
        <v>1193</v>
      </c>
    </row>
    <row r="14" spans="1:7" x14ac:dyDescent="0.25">
      <c r="A14">
        <v>30</v>
      </c>
      <c r="B14" s="3">
        <v>10000</v>
      </c>
    </row>
    <row r="15" spans="1:7" x14ac:dyDescent="0.25">
      <c r="A15">
        <v>30</v>
      </c>
      <c r="B15" s="3">
        <v>10000</v>
      </c>
      <c r="C15" t="s">
        <v>97</v>
      </c>
    </row>
    <row r="16" spans="1:7" x14ac:dyDescent="0.25">
      <c r="B16" s="3">
        <f>SUM(B1:B15)</f>
        <v>101424</v>
      </c>
    </row>
    <row r="19" spans="1:4" x14ac:dyDescent="0.25">
      <c r="A19" s="16" t="s">
        <v>102</v>
      </c>
    </row>
    <row r="20" spans="1:4" x14ac:dyDescent="0.25">
      <c r="A20">
        <v>2</v>
      </c>
      <c r="B20" s="3">
        <v>5000</v>
      </c>
    </row>
    <row r="21" spans="1:4" x14ac:dyDescent="0.25">
      <c r="A21">
        <v>3</v>
      </c>
      <c r="B21" s="3">
        <v>571</v>
      </c>
    </row>
    <row r="22" spans="1:4" x14ac:dyDescent="0.25">
      <c r="D22">
        <v>14202</v>
      </c>
    </row>
    <row r="23" spans="1:4" x14ac:dyDescent="0.25">
      <c r="A23">
        <v>3</v>
      </c>
      <c r="D23">
        <v>13269</v>
      </c>
    </row>
    <row r="24" spans="1:4" x14ac:dyDescent="0.25">
      <c r="A24">
        <v>5</v>
      </c>
      <c r="B24" s="3">
        <v>10000</v>
      </c>
      <c r="C24" t="s">
        <v>94</v>
      </c>
    </row>
    <row r="25" spans="1:4" x14ac:dyDescent="0.25">
      <c r="A25">
        <v>6</v>
      </c>
      <c r="B25" s="3">
        <v>7500</v>
      </c>
      <c r="C25" t="s">
        <v>100</v>
      </c>
    </row>
    <row r="26" spans="1:4" x14ac:dyDescent="0.25">
      <c r="A26">
        <v>6</v>
      </c>
      <c r="B26" s="3">
        <v>2086</v>
      </c>
      <c r="C26" t="s">
        <v>101</v>
      </c>
    </row>
    <row r="27" spans="1:4" x14ac:dyDescent="0.25">
      <c r="A27" s="94">
        <v>46274</v>
      </c>
      <c r="B27" s="3">
        <v>3000</v>
      </c>
      <c r="C27" t="s">
        <v>103</v>
      </c>
    </row>
    <row r="28" spans="1:4" x14ac:dyDescent="0.25">
      <c r="A28" s="94">
        <v>46277</v>
      </c>
      <c r="B28" s="3">
        <v>10000</v>
      </c>
    </row>
    <row r="29" spans="1:4" x14ac:dyDescent="0.25">
      <c r="A29" s="94">
        <v>46278</v>
      </c>
    </row>
    <row r="36" spans="1:2" ht="15.75" thickBot="1" x14ac:dyDescent="0.3">
      <c r="B36" s="38">
        <f>SUM(B20:B35)</f>
        <v>38157</v>
      </c>
    </row>
    <row r="37" spans="1:2" ht="15.75" thickTop="1" x14ac:dyDescent="0.25">
      <c r="B37" s="3">
        <v>6000</v>
      </c>
    </row>
    <row r="38" spans="1:2" ht="15.75" thickBot="1" x14ac:dyDescent="0.3">
      <c r="A38" s="95" t="s">
        <v>104</v>
      </c>
      <c r="B38" s="38">
        <f>SUM(B36:B37)</f>
        <v>44157</v>
      </c>
    </row>
    <row r="39" spans="1:2" ht="15.75" thickTop="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22FDD-D424-4534-B285-5613D2CF7345}">
  <dimension ref="G1:I131"/>
  <sheetViews>
    <sheetView zoomScale="160" zoomScaleNormal="160" workbookViewId="0">
      <selection activeCell="E1" sqref="E1"/>
    </sheetView>
  </sheetViews>
  <sheetFormatPr defaultRowHeight="18.75" x14ac:dyDescent="0.3"/>
  <cols>
    <col min="1" max="3" width="9.140625" style="93"/>
    <col min="4" max="4" width="20.28515625" style="93" customWidth="1"/>
    <col min="5" max="5" width="22.85546875" style="93" customWidth="1"/>
    <col min="6" max="6" width="20.140625" style="93" customWidth="1"/>
    <col min="7" max="7" width="14.5703125" style="92" bestFit="1" customWidth="1"/>
    <col min="8" max="8" width="16.42578125" style="97" customWidth="1"/>
    <col min="9" max="16384" width="9.140625" style="93"/>
  </cols>
  <sheetData>
    <row r="1" spans="7:9" x14ac:dyDescent="0.3">
      <c r="G1" s="92">
        <v>15600</v>
      </c>
      <c r="H1" s="97">
        <v>11269</v>
      </c>
    </row>
    <row r="2" spans="7:9" x14ac:dyDescent="0.3">
      <c r="G2" s="92">
        <v>15239</v>
      </c>
      <c r="H2" s="97">
        <v>11800</v>
      </c>
    </row>
    <row r="3" spans="7:9" x14ac:dyDescent="0.3">
      <c r="G3" s="92">
        <v>15600</v>
      </c>
      <c r="H3" s="97">
        <v>11440</v>
      </c>
    </row>
    <row r="4" spans="7:9" x14ac:dyDescent="0.3">
      <c r="G4" s="92">
        <v>16683</v>
      </c>
      <c r="H4" s="97">
        <v>9680</v>
      </c>
    </row>
    <row r="5" spans="7:9" x14ac:dyDescent="0.3">
      <c r="G5" s="92">
        <f>SUM(G1:G4)</f>
        <v>63122</v>
      </c>
      <c r="H5" s="97">
        <v>11416</v>
      </c>
    </row>
    <row r="6" spans="7:9" x14ac:dyDescent="0.3">
      <c r="H6" s="97">
        <v>11440</v>
      </c>
    </row>
    <row r="7" spans="7:9" x14ac:dyDescent="0.3">
      <c r="H7" s="97">
        <v>11526</v>
      </c>
    </row>
    <row r="8" spans="7:9" x14ac:dyDescent="0.3">
      <c r="I8" s="93">
        <v>1</v>
      </c>
    </row>
    <row r="9" spans="7:9" x14ac:dyDescent="0.3">
      <c r="H9" s="97">
        <v>9160</v>
      </c>
    </row>
    <row r="10" spans="7:9" x14ac:dyDescent="0.3">
      <c r="H10" s="97">
        <v>10480</v>
      </c>
    </row>
    <row r="11" spans="7:9" x14ac:dyDescent="0.3">
      <c r="H11" s="97">
        <v>11000</v>
      </c>
    </row>
    <row r="12" spans="7:9" x14ac:dyDescent="0.3">
      <c r="H12" s="97">
        <v>10560</v>
      </c>
    </row>
    <row r="13" spans="7:9" x14ac:dyDescent="0.3">
      <c r="H13" s="97">
        <v>11000</v>
      </c>
    </row>
    <row r="14" spans="7:9" x14ac:dyDescent="0.3">
      <c r="H14" s="97">
        <v>11440</v>
      </c>
    </row>
    <row r="15" spans="7:9" x14ac:dyDescent="0.3">
      <c r="H15" s="97">
        <v>10920</v>
      </c>
    </row>
    <row r="16" spans="7:9" x14ac:dyDescent="0.3">
      <c r="H16" s="97">
        <v>11800</v>
      </c>
    </row>
    <row r="17" spans="8:9" x14ac:dyDescent="0.3">
      <c r="H17" s="97">
        <v>11440</v>
      </c>
    </row>
    <row r="18" spans="8:9" x14ac:dyDescent="0.3">
      <c r="H18" s="97">
        <v>12038</v>
      </c>
    </row>
    <row r="19" spans="8:9" x14ac:dyDescent="0.3">
      <c r="H19" s="97">
        <v>11000</v>
      </c>
    </row>
    <row r="20" spans="8:9" x14ac:dyDescent="0.3">
      <c r="I20" s="93">
        <v>2</v>
      </c>
    </row>
    <row r="21" spans="8:9" x14ac:dyDescent="0.3">
      <c r="H21" s="97">
        <v>12160</v>
      </c>
    </row>
    <row r="22" spans="8:9" x14ac:dyDescent="0.3">
      <c r="H22" s="97">
        <v>12160</v>
      </c>
    </row>
    <row r="23" spans="8:9" x14ac:dyDescent="0.3">
      <c r="H23" s="97">
        <v>6880</v>
      </c>
    </row>
    <row r="24" spans="8:9" x14ac:dyDescent="0.3">
      <c r="H24" s="97">
        <v>11444</v>
      </c>
    </row>
    <row r="25" spans="8:9" x14ac:dyDescent="0.3">
      <c r="H25" s="97">
        <v>12089</v>
      </c>
    </row>
    <row r="26" spans="8:9" x14ac:dyDescent="0.3">
      <c r="H26" s="97">
        <v>12498</v>
      </c>
    </row>
    <row r="27" spans="8:9" x14ac:dyDescent="0.3">
      <c r="H27" s="97">
        <v>11845</v>
      </c>
    </row>
    <row r="28" spans="8:9" x14ac:dyDescent="0.3">
      <c r="H28" s="97">
        <v>5524</v>
      </c>
    </row>
    <row r="29" spans="8:9" x14ac:dyDescent="0.3">
      <c r="H29" s="97">
        <v>4400</v>
      </c>
    </row>
    <row r="30" spans="8:9" x14ac:dyDescent="0.3">
      <c r="H30" s="97">
        <v>11440</v>
      </c>
    </row>
    <row r="31" spans="8:9" x14ac:dyDescent="0.3">
      <c r="H31" s="97">
        <v>12160</v>
      </c>
    </row>
    <row r="32" spans="8:9" x14ac:dyDescent="0.3">
      <c r="I32" s="93">
        <v>3</v>
      </c>
    </row>
    <row r="33" spans="8:9" x14ac:dyDescent="0.3">
      <c r="H33" s="97">
        <v>11800</v>
      </c>
    </row>
    <row r="34" spans="8:9" x14ac:dyDescent="0.3">
      <c r="H34" s="97">
        <v>11318</v>
      </c>
    </row>
    <row r="35" spans="8:9" x14ac:dyDescent="0.3">
      <c r="H35" s="97">
        <v>10120</v>
      </c>
    </row>
    <row r="36" spans="8:9" x14ac:dyDescent="0.3">
      <c r="H36" s="97">
        <v>11964</v>
      </c>
    </row>
    <row r="37" spans="8:9" x14ac:dyDescent="0.3">
      <c r="H37" s="97">
        <v>11360</v>
      </c>
    </row>
    <row r="38" spans="8:9" x14ac:dyDescent="0.3">
      <c r="H38" s="97">
        <v>11391</v>
      </c>
    </row>
    <row r="39" spans="8:9" x14ac:dyDescent="0.3">
      <c r="H39" s="97">
        <v>12160</v>
      </c>
    </row>
    <row r="40" spans="8:9" x14ac:dyDescent="0.3">
      <c r="H40" s="97">
        <v>11416</v>
      </c>
    </row>
    <row r="41" spans="8:9" x14ac:dyDescent="0.3">
      <c r="H41" s="97">
        <v>10096</v>
      </c>
    </row>
    <row r="42" spans="8:9" x14ac:dyDescent="0.3">
      <c r="H42" s="97">
        <v>11440</v>
      </c>
    </row>
    <row r="43" spans="8:9" x14ac:dyDescent="0.3">
      <c r="H43" s="97">
        <v>11440</v>
      </c>
    </row>
    <row r="44" spans="8:9" x14ac:dyDescent="0.3">
      <c r="I44" s="93">
        <v>4</v>
      </c>
    </row>
    <row r="45" spans="8:9" x14ac:dyDescent="0.3">
      <c r="H45" s="97">
        <v>11440</v>
      </c>
    </row>
    <row r="46" spans="8:9" x14ac:dyDescent="0.3">
      <c r="H46" s="97">
        <v>12087</v>
      </c>
    </row>
    <row r="47" spans="8:9" x14ac:dyDescent="0.3">
      <c r="H47" s="97">
        <v>11190</v>
      </c>
    </row>
    <row r="48" spans="8:9" x14ac:dyDescent="0.3">
      <c r="H48" s="97">
        <v>12160</v>
      </c>
    </row>
    <row r="49" spans="8:9" x14ac:dyDescent="0.3">
      <c r="H49" s="97">
        <v>11653</v>
      </c>
    </row>
    <row r="50" spans="8:9" x14ac:dyDescent="0.3">
      <c r="H50" s="97">
        <v>10853</v>
      </c>
    </row>
    <row r="51" spans="8:9" x14ac:dyDescent="0.3">
      <c r="H51" s="97">
        <v>11800</v>
      </c>
    </row>
    <row r="52" spans="8:9" x14ac:dyDescent="0.3">
      <c r="H52" s="97">
        <v>12160</v>
      </c>
    </row>
    <row r="53" spans="8:9" x14ac:dyDescent="0.3">
      <c r="H53" s="97">
        <v>10853</v>
      </c>
    </row>
    <row r="54" spans="8:9" x14ac:dyDescent="0.3">
      <c r="H54" s="97">
        <v>11800</v>
      </c>
    </row>
    <row r="55" spans="8:9" x14ac:dyDescent="0.3">
      <c r="H55" s="97">
        <v>10381</v>
      </c>
    </row>
    <row r="56" spans="8:9" x14ac:dyDescent="0.3">
      <c r="I56" s="93">
        <v>5</v>
      </c>
    </row>
    <row r="57" spans="8:9" x14ac:dyDescent="0.3">
      <c r="H57" s="97">
        <v>11280</v>
      </c>
    </row>
    <row r="58" spans="8:9" x14ac:dyDescent="0.3">
      <c r="H58" s="97">
        <v>11702</v>
      </c>
    </row>
    <row r="59" spans="8:9" x14ac:dyDescent="0.3">
      <c r="H59" s="97">
        <v>11800</v>
      </c>
    </row>
    <row r="60" spans="8:9" x14ac:dyDescent="0.3">
      <c r="H60" s="97">
        <v>10951</v>
      </c>
    </row>
    <row r="61" spans="8:9" x14ac:dyDescent="0.3">
      <c r="H61" s="97">
        <v>11360</v>
      </c>
    </row>
    <row r="62" spans="8:9" x14ac:dyDescent="0.3">
      <c r="H62" s="97">
        <v>10658</v>
      </c>
    </row>
    <row r="63" spans="8:9" x14ac:dyDescent="0.3">
      <c r="H63" s="97">
        <v>12880</v>
      </c>
    </row>
    <row r="64" spans="8:9" x14ac:dyDescent="0.3">
      <c r="H64" s="97">
        <v>11238</v>
      </c>
    </row>
    <row r="65" spans="8:9" x14ac:dyDescent="0.3">
      <c r="H65" s="97">
        <v>11000</v>
      </c>
    </row>
    <row r="66" spans="8:9" x14ac:dyDescent="0.3">
      <c r="H66" s="97">
        <v>11416</v>
      </c>
    </row>
    <row r="67" spans="8:9" x14ac:dyDescent="0.3">
      <c r="H67" s="97">
        <v>10560</v>
      </c>
    </row>
    <row r="68" spans="8:9" x14ac:dyDescent="0.3">
      <c r="I68" s="93">
        <v>6</v>
      </c>
    </row>
    <row r="69" spans="8:9" x14ac:dyDescent="0.3">
      <c r="H69" s="97">
        <v>12136</v>
      </c>
    </row>
    <row r="70" spans="8:9" x14ac:dyDescent="0.3">
      <c r="H70" s="97">
        <v>11000</v>
      </c>
    </row>
    <row r="71" spans="8:9" x14ac:dyDescent="0.3">
      <c r="H71" s="97">
        <v>11000</v>
      </c>
    </row>
    <row r="72" spans="8:9" x14ac:dyDescent="0.3">
      <c r="H72" s="97">
        <v>9680</v>
      </c>
    </row>
    <row r="73" spans="8:9" x14ac:dyDescent="0.3">
      <c r="H73" s="97">
        <v>11000</v>
      </c>
    </row>
    <row r="74" spans="8:9" x14ac:dyDescent="0.3">
      <c r="H74" s="97">
        <v>10389</v>
      </c>
    </row>
    <row r="75" spans="8:9" x14ac:dyDescent="0.3">
      <c r="H75" s="97">
        <v>10840</v>
      </c>
    </row>
    <row r="76" spans="8:9" x14ac:dyDescent="0.3">
      <c r="H76" s="97">
        <v>10389</v>
      </c>
    </row>
    <row r="77" spans="8:9" x14ac:dyDescent="0.3">
      <c r="H77" s="97">
        <v>10902</v>
      </c>
    </row>
    <row r="78" spans="8:9" x14ac:dyDescent="0.3">
      <c r="H78" s="97">
        <v>11342</v>
      </c>
    </row>
    <row r="79" spans="8:9" x14ac:dyDescent="0.3">
      <c r="H79" s="97">
        <v>11367</v>
      </c>
    </row>
    <row r="80" spans="8:9" x14ac:dyDescent="0.3">
      <c r="I80" s="93">
        <v>7</v>
      </c>
    </row>
    <row r="81" spans="8:9" x14ac:dyDescent="0.3">
      <c r="H81" s="97">
        <v>11397</v>
      </c>
    </row>
    <row r="82" spans="8:9" x14ac:dyDescent="0.3">
      <c r="H82" s="97">
        <v>11000</v>
      </c>
    </row>
    <row r="83" spans="8:9" x14ac:dyDescent="0.3">
      <c r="H83" s="97">
        <v>11010</v>
      </c>
    </row>
    <row r="84" spans="8:9" x14ac:dyDescent="0.3">
      <c r="H84" s="97">
        <v>10976</v>
      </c>
    </row>
    <row r="85" spans="8:9" x14ac:dyDescent="0.3">
      <c r="H85" s="97">
        <v>11000</v>
      </c>
    </row>
    <row r="86" spans="8:9" x14ac:dyDescent="0.3">
      <c r="H86" s="97">
        <v>9240</v>
      </c>
    </row>
    <row r="87" spans="8:9" x14ac:dyDescent="0.3">
      <c r="H87" s="97">
        <v>11440</v>
      </c>
    </row>
    <row r="88" spans="8:9" x14ac:dyDescent="0.3">
      <c r="H88" s="97">
        <v>12970</v>
      </c>
    </row>
    <row r="89" spans="8:9" x14ac:dyDescent="0.3">
      <c r="H89" s="97">
        <v>11008</v>
      </c>
    </row>
    <row r="90" spans="8:9" x14ac:dyDescent="0.3">
      <c r="H90" s="97">
        <v>12453</v>
      </c>
    </row>
    <row r="91" spans="8:9" x14ac:dyDescent="0.3">
      <c r="H91" s="97">
        <v>11416</v>
      </c>
    </row>
    <row r="92" spans="8:9" x14ac:dyDescent="0.3">
      <c r="I92" s="93">
        <v>8</v>
      </c>
    </row>
    <row r="93" spans="8:9" x14ac:dyDescent="0.3">
      <c r="H93" s="97">
        <v>9793</v>
      </c>
    </row>
    <row r="94" spans="8:9" x14ac:dyDescent="0.3">
      <c r="H94" s="97">
        <v>11518</v>
      </c>
    </row>
    <row r="95" spans="8:9" x14ac:dyDescent="0.3">
      <c r="H95" s="97">
        <v>11000</v>
      </c>
    </row>
    <row r="96" spans="8:9" x14ac:dyDescent="0.3">
      <c r="H96" s="97">
        <v>8360</v>
      </c>
    </row>
    <row r="97" spans="8:9" x14ac:dyDescent="0.3">
      <c r="H97" s="97">
        <v>12835</v>
      </c>
    </row>
    <row r="98" spans="8:9" x14ac:dyDescent="0.3">
      <c r="H98" s="97">
        <v>15850</v>
      </c>
    </row>
    <row r="99" spans="8:9" x14ac:dyDescent="0.3">
      <c r="H99" s="97">
        <v>10853</v>
      </c>
    </row>
    <row r="100" spans="8:9" x14ac:dyDescent="0.3">
      <c r="H100" s="97">
        <v>11147</v>
      </c>
    </row>
    <row r="101" spans="8:9" x14ac:dyDescent="0.3">
      <c r="H101" s="97">
        <v>10291</v>
      </c>
    </row>
    <row r="102" spans="8:9" x14ac:dyDescent="0.3">
      <c r="H102" s="97">
        <v>11318</v>
      </c>
    </row>
    <row r="103" spans="8:9" x14ac:dyDescent="0.3">
      <c r="H103" s="97">
        <v>14073</v>
      </c>
    </row>
    <row r="104" spans="8:9" x14ac:dyDescent="0.3">
      <c r="I104" s="93">
        <v>9</v>
      </c>
    </row>
    <row r="105" spans="8:9" x14ac:dyDescent="0.3">
      <c r="H105" s="97">
        <v>10976</v>
      </c>
    </row>
    <row r="106" spans="8:9" x14ac:dyDescent="0.3">
      <c r="H106" s="97">
        <v>11367</v>
      </c>
    </row>
    <row r="107" spans="8:9" x14ac:dyDescent="0.3">
      <c r="H107" s="97">
        <v>10560</v>
      </c>
    </row>
    <row r="108" spans="8:9" x14ac:dyDescent="0.3">
      <c r="H108" s="97">
        <v>11440</v>
      </c>
    </row>
    <row r="109" spans="8:9" x14ac:dyDescent="0.3">
      <c r="H109" s="97">
        <v>10364</v>
      </c>
    </row>
    <row r="110" spans="8:9" x14ac:dyDescent="0.3">
      <c r="H110" s="97">
        <v>10560</v>
      </c>
    </row>
    <row r="111" spans="8:9" x14ac:dyDescent="0.3">
      <c r="H111" s="97">
        <v>11342</v>
      </c>
    </row>
    <row r="112" spans="8:9" x14ac:dyDescent="0.3">
      <c r="H112" s="97">
        <v>11753</v>
      </c>
    </row>
    <row r="113" spans="8:9" x14ac:dyDescent="0.3">
      <c r="H113" s="97">
        <v>4240</v>
      </c>
    </row>
    <row r="114" spans="8:9" x14ac:dyDescent="0.3">
      <c r="H114" s="97">
        <v>4490</v>
      </c>
    </row>
    <row r="115" spans="8:9" x14ac:dyDescent="0.3">
      <c r="H115" s="97">
        <v>11416</v>
      </c>
    </row>
    <row r="116" spans="8:9" x14ac:dyDescent="0.3">
      <c r="I116" s="93">
        <v>10</v>
      </c>
    </row>
    <row r="117" spans="8:9" x14ac:dyDescent="0.3">
      <c r="H117" s="97">
        <v>8800</v>
      </c>
    </row>
    <row r="118" spans="8:9" x14ac:dyDescent="0.3">
      <c r="H118" s="97">
        <v>11220</v>
      </c>
    </row>
    <row r="119" spans="8:9" x14ac:dyDescent="0.3">
      <c r="H119" s="97">
        <v>11449</v>
      </c>
    </row>
    <row r="120" spans="8:9" x14ac:dyDescent="0.3">
      <c r="H120" s="97">
        <v>10807</v>
      </c>
    </row>
    <row r="121" spans="8:9" x14ac:dyDescent="0.3">
      <c r="H121" s="97">
        <v>6152</v>
      </c>
    </row>
    <row r="122" spans="8:9" x14ac:dyDescent="0.3">
      <c r="H122" s="97">
        <v>367</v>
      </c>
    </row>
    <row r="123" spans="8:9" x14ac:dyDescent="0.3">
      <c r="H123" s="97">
        <v>2958</v>
      </c>
    </row>
    <row r="124" spans="8:9" x14ac:dyDescent="0.3">
      <c r="H124" s="97">
        <v>3887</v>
      </c>
    </row>
    <row r="125" spans="8:9" x14ac:dyDescent="0.3">
      <c r="H125" s="97">
        <v>2444</v>
      </c>
    </row>
    <row r="126" spans="8:9" x14ac:dyDescent="0.3">
      <c r="H126" s="97">
        <v>2200</v>
      </c>
    </row>
    <row r="127" spans="8:9" x14ac:dyDescent="0.3">
      <c r="H127" s="98">
        <f>SUM(H1:H126)</f>
        <v>1227521</v>
      </c>
    </row>
    <row r="128" spans="8:9" x14ac:dyDescent="0.3">
      <c r="H128" s="97">
        <v>63122</v>
      </c>
    </row>
    <row r="129" spans="8:8" x14ac:dyDescent="0.3">
      <c r="H129" s="97">
        <f>H127+H128</f>
        <v>1290643</v>
      </c>
    </row>
    <row r="130" spans="8:8" x14ac:dyDescent="0.3">
      <c r="H130" s="97">
        <f>+H129-H127</f>
        <v>63122</v>
      </c>
    </row>
    <row r="131" spans="8:8" x14ac:dyDescent="0.3">
      <c r="H131" s="97">
        <f>H129*1.15</f>
        <v>1484239.45</v>
      </c>
    </row>
  </sheetData>
  <pageMargins left="0.7" right="0.7" top="0.75" bottom="0.75" header="0.3" footer="0.3"/>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CB28-42FF-47E5-9468-09B826969A34}">
  <dimension ref="A1:AO28"/>
  <sheetViews>
    <sheetView zoomScale="170" zoomScaleNormal="170" workbookViewId="0">
      <selection activeCell="AJ27" sqref="AJ27"/>
    </sheetView>
  </sheetViews>
  <sheetFormatPr defaultRowHeight="18.75" x14ac:dyDescent="0.3"/>
  <cols>
    <col min="1" max="1" width="16.140625" style="97" customWidth="1"/>
    <col min="2" max="5" width="16.140625" style="99" customWidth="1"/>
    <col min="6" max="6" width="16.140625" style="97" customWidth="1"/>
    <col min="7" max="37" width="16.140625" style="99" customWidth="1"/>
    <col min="38" max="38" width="20.42578125" style="99" bestFit="1" customWidth="1"/>
    <col min="39" max="41" width="16.140625" style="99" customWidth="1"/>
    <col min="42" max="16384" width="9.140625" style="100"/>
  </cols>
  <sheetData>
    <row r="1" spans="1:35" x14ac:dyDescent="0.3">
      <c r="A1" s="97">
        <v>4107</v>
      </c>
      <c r="B1" s="99">
        <v>2518</v>
      </c>
      <c r="C1" s="99">
        <v>9518</v>
      </c>
      <c r="D1" s="99">
        <v>18350</v>
      </c>
      <c r="E1" s="99">
        <v>15935</v>
      </c>
      <c r="F1" s="97">
        <v>12387</v>
      </c>
      <c r="G1" s="99">
        <v>9915</v>
      </c>
      <c r="H1" s="99">
        <v>14411</v>
      </c>
      <c r="I1" s="99">
        <v>12722</v>
      </c>
      <c r="J1" s="99">
        <v>8631</v>
      </c>
      <c r="K1" s="99">
        <v>11868</v>
      </c>
      <c r="L1" s="99">
        <v>4110</v>
      </c>
      <c r="M1" s="99">
        <v>14752</v>
      </c>
      <c r="N1" s="99">
        <v>15088</v>
      </c>
      <c r="O1" s="99">
        <v>14060</v>
      </c>
      <c r="P1" s="99">
        <v>8611</v>
      </c>
      <c r="Q1" s="99">
        <v>13712</v>
      </c>
      <c r="R1" s="99">
        <v>12420</v>
      </c>
      <c r="S1" s="99">
        <v>13355</v>
      </c>
      <c r="T1" s="99">
        <v>6650</v>
      </c>
      <c r="U1" s="99">
        <v>6103</v>
      </c>
      <c r="V1" s="99">
        <v>13415</v>
      </c>
      <c r="W1" s="99">
        <v>6235</v>
      </c>
      <c r="X1" s="99">
        <v>12732</v>
      </c>
      <c r="Y1" s="99">
        <v>6206</v>
      </c>
      <c r="Z1" s="99">
        <v>13813</v>
      </c>
      <c r="AA1" s="99">
        <v>14267</v>
      </c>
      <c r="AB1" s="99">
        <v>16457</v>
      </c>
      <c r="AC1" s="99">
        <v>12818</v>
      </c>
      <c r="AD1" s="99">
        <v>13155</v>
      </c>
      <c r="AE1" s="99">
        <v>15310</v>
      </c>
      <c r="AF1" s="99">
        <v>9800</v>
      </c>
      <c r="AG1" s="99">
        <v>10576</v>
      </c>
      <c r="AH1" s="99">
        <v>16067</v>
      </c>
      <c r="AI1" s="99">
        <v>16150</v>
      </c>
    </row>
    <row r="2" spans="1:35" x14ac:dyDescent="0.3">
      <c r="A2" s="97">
        <v>3997</v>
      </c>
      <c r="B2" s="99">
        <v>13620</v>
      </c>
      <c r="C2" s="99">
        <v>9008</v>
      </c>
      <c r="D2" s="99">
        <v>14422</v>
      </c>
      <c r="E2" s="99">
        <v>13500</v>
      </c>
      <c r="F2" s="97">
        <v>12370</v>
      </c>
      <c r="G2" s="99">
        <v>14510</v>
      </c>
      <c r="H2" s="99">
        <v>15935</v>
      </c>
      <c r="I2" s="99">
        <v>8114</v>
      </c>
      <c r="J2" s="99">
        <v>12586</v>
      </c>
      <c r="K2" s="99">
        <v>13405</v>
      </c>
      <c r="L2" s="99">
        <v>16672</v>
      </c>
      <c r="M2" s="99">
        <v>16842</v>
      </c>
      <c r="N2" s="99">
        <v>15096</v>
      </c>
      <c r="O2" s="99">
        <v>11928</v>
      </c>
      <c r="P2" s="99">
        <v>9745</v>
      </c>
      <c r="Q2" s="99">
        <v>11060</v>
      </c>
      <c r="R2" s="99">
        <v>11823</v>
      </c>
      <c r="S2" s="99">
        <v>14065</v>
      </c>
      <c r="T2" s="99">
        <v>14325</v>
      </c>
      <c r="U2" s="99">
        <v>11747</v>
      </c>
      <c r="V2" s="99">
        <v>11963</v>
      </c>
      <c r="W2" s="99">
        <v>17420</v>
      </c>
      <c r="X2" s="99">
        <v>12920</v>
      </c>
      <c r="Y2" s="99">
        <v>10319</v>
      </c>
      <c r="Z2" s="99">
        <v>14671</v>
      </c>
      <c r="AA2" s="99">
        <v>16677</v>
      </c>
      <c r="AB2" s="99">
        <v>10245</v>
      </c>
      <c r="AC2" s="99">
        <v>15523</v>
      </c>
      <c r="AD2" s="99">
        <v>14152</v>
      </c>
      <c r="AE2" s="99">
        <v>12150</v>
      </c>
      <c r="AF2" s="99">
        <v>3080</v>
      </c>
      <c r="AG2" s="99">
        <v>16045</v>
      </c>
      <c r="AH2" s="99">
        <v>12608</v>
      </c>
      <c r="AI2" s="99">
        <v>12552</v>
      </c>
    </row>
    <row r="3" spans="1:35" x14ac:dyDescent="0.3">
      <c r="A3" s="97">
        <v>4107</v>
      </c>
      <c r="B3" s="99">
        <v>11623</v>
      </c>
      <c r="C3" s="99">
        <v>3276</v>
      </c>
      <c r="D3" s="99">
        <v>10625</v>
      </c>
      <c r="E3" s="99">
        <v>15025</v>
      </c>
      <c r="F3" s="97">
        <v>12387</v>
      </c>
      <c r="G3" s="99">
        <v>14115</v>
      </c>
      <c r="H3" s="99">
        <v>12217</v>
      </c>
      <c r="I3" s="99">
        <v>490</v>
      </c>
      <c r="J3" s="99">
        <v>3887</v>
      </c>
      <c r="K3" s="99">
        <v>13460</v>
      </c>
      <c r="L3" s="99">
        <v>13152</v>
      </c>
      <c r="M3" s="99">
        <v>12197</v>
      </c>
      <c r="N3" s="99">
        <v>17607</v>
      </c>
      <c r="O3" s="99">
        <v>12700</v>
      </c>
      <c r="P3" s="99">
        <v>6540</v>
      </c>
      <c r="Q3" s="99">
        <v>12346</v>
      </c>
      <c r="R3" s="99">
        <v>10488</v>
      </c>
      <c r="S3" s="99">
        <v>11981</v>
      </c>
      <c r="T3" s="99">
        <v>12072</v>
      </c>
      <c r="U3" s="99">
        <v>14670</v>
      </c>
      <c r="V3" s="99">
        <v>11900</v>
      </c>
      <c r="W3" s="99">
        <v>13905</v>
      </c>
      <c r="X3" s="99">
        <v>14945</v>
      </c>
      <c r="Y3" s="99">
        <v>14835</v>
      </c>
      <c r="Z3" s="99">
        <v>4684</v>
      </c>
      <c r="AA3" s="99">
        <v>16925</v>
      </c>
      <c r="AB3" s="99">
        <v>17442</v>
      </c>
      <c r="AC3" s="99">
        <v>16617</v>
      </c>
      <c r="AD3" s="99">
        <v>16705</v>
      </c>
      <c r="AE3" s="99">
        <v>13648</v>
      </c>
      <c r="AF3" s="99">
        <v>8820</v>
      </c>
      <c r="AG3" s="99">
        <v>12950</v>
      </c>
      <c r="AH3" s="99">
        <v>12250</v>
      </c>
      <c r="AI3" s="99">
        <v>16408</v>
      </c>
    </row>
    <row r="4" spans="1:35" x14ac:dyDescent="0.3">
      <c r="A4" s="97">
        <v>3349</v>
      </c>
      <c r="B4" s="99">
        <v>13235</v>
      </c>
      <c r="C4" s="99">
        <v>6713</v>
      </c>
      <c r="D4" s="99">
        <v>15660</v>
      </c>
      <c r="E4" s="99">
        <v>13601</v>
      </c>
      <c r="F4" s="97">
        <v>12960</v>
      </c>
      <c r="G4" s="99">
        <v>11711</v>
      </c>
      <c r="H4" s="99">
        <v>11411</v>
      </c>
      <c r="I4" s="99">
        <v>4168</v>
      </c>
      <c r="J4" s="99">
        <v>8361</v>
      </c>
      <c r="K4" s="99">
        <v>10671</v>
      </c>
      <c r="L4" s="99">
        <v>11760</v>
      </c>
      <c r="M4" s="99">
        <v>17442</v>
      </c>
      <c r="N4" s="99">
        <v>16320</v>
      </c>
      <c r="O4" s="99">
        <v>13305</v>
      </c>
      <c r="P4" s="99">
        <v>17172</v>
      </c>
      <c r="Q4" s="99">
        <v>12830</v>
      </c>
      <c r="R4" s="99">
        <v>13110</v>
      </c>
      <c r="S4" s="99">
        <v>11771</v>
      </c>
      <c r="T4" s="99">
        <v>13900</v>
      </c>
      <c r="U4" s="99">
        <v>13158</v>
      </c>
      <c r="V4" s="99">
        <v>13895</v>
      </c>
      <c r="W4" s="99">
        <v>13840</v>
      </c>
      <c r="X4" s="99">
        <v>13437</v>
      </c>
      <c r="Y4" s="99">
        <v>11270</v>
      </c>
      <c r="Z4" s="99">
        <v>11752</v>
      </c>
      <c r="AA4" s="99">
        <v>16160</v>
      </c>
      <c r="AB4" s="99">
        <v>12710</v>
      </c>
      <c r="AC4" s="99">
        <v>4547</v>
      </c>
      <c r="AD4" s="99">
        <v>15082</v>
      </c>
      <c r="AE4" s="99">
        <v>13217</v>
      </c>
      <c r="AF4" s="99">
        <v>14665</v>
      </c>
      <c r="AG4" s="99">
        <v>13180</v>
      </c>
      <c r="AH4" s="99">
        <v>11503</v>
      </c>
      <c r="AI4" s="99">
        <v>15610</v>
      </c>
    </row>
    <row r="5" spans="1:35" x14ac:dyDescent="0.3">
      <c r="A5" s="97">
        <v>3887</v>
      </c>
      <c r="B5" s="99">
        <v>15385</v>
      </c>
      <c r="C5" s="99">
        <v>9243</v>
      </c>
      <c r="D5" s="99">
        <v>14999</v>
      </c>
      <c r="E5" s="99">
        <v>15220</v>
      </c>
      <c r="F5" s="97">
        <v>13207</v>
      </c>
      <c r="G5" s="99">
        <v>14978</v>
      </c>
      <c r="H5" s="99">
        <v>13678</v>
      </c>
      <c r="I5" s="99">
        <v>12195</v>
      </c>
      <c r="J5" s="99">
        <v>4217</v>
      </c>
      <c r="K5" s="99">
        <v>7186</v>
      </c>
      <c r="L5" s="99">
        <v>12735</v>
      </c>
      <c r="M5" s="99">
        <v>16375</v>
      </c>
      <c r="N5" s="99">
        <v>16375</v>
      </c>
      <c r="O5" s="99">
        <v>15053</v>
      </c>
      <c r="P5" s="99">
        <v>13895</v>
      </c>
      <c r="Q5" s="99">
        <v>11760</v>
      </c>
      <c r="R5" s="99">
        <v>16380</v>
      </c>
      <c r="S5" s="99">
        <v>7525</v>
      </c>
      <c r="T5" s="99">
        <v>10723</v>
      </c>
      <c r="U5" s="99">
        <v>18680</v>
      </c>
      <c r="V5" s="99">
        <v>14395</v>
      </c>
      <c r="W5" s="99">
        <v>15495</v>
      </c>
      <c r="X5" s="99">
        <v>15572</v>
      </c>
      <c r="Y5" s="99">
        <v>14170</v>
      </c>
      <c r="Z5" s="99">
        <v>11182</v>
      </c>
      <c r="AA5" s="99">
        <v>10465</v>
      </c>
      <c r="AB5" s="99">
        <v>12877</v>
      </c>
      <c r="AC5" s="99">
        <v>15325</v>
      </c>
      <c r="AD5" s="99">
        <v>18322</v>
      </c>
      <c r="AE5" s="99">
        <v>13345</v>
      </c>
      <c r="AF5" s="99">
        <v>12222</v>
      </c>
      <c r="AG5" s="99">
        <v>9310</v>
      </c>
      <c r="AH5" s="99">
        <v>12505</v>
      </c>
      <c r="AI5" s="99">
        <v>17580</v>
      </c>
    </row>
    <row r="6" spans="1:35" x14ac:dyDescent="0.3">
      <c r="A6" s="97">
        <v>3887</v>
      </c>
      <c r="B6" s="99">
        <v>10317</v>
      </c>
      <c r="C6" s="99">
        <v>9686</v>
      </c>
      <c r="D6" s="99">
        <v>14560</v>
      </c>
      <c r="E6" s="99">
        <v>12710</v>
      </c>
      <c r="F6" s="97">
        <v>8988</v>
      </c>
      <c r="G6" s="99">
        <v>16287</v>
      </c>
      <c r="H6" s="99">
        <v>9150</v>
      </c>
      <c r="I6" s="99">
        <v>15517</v>
      </c>
      <c r="J6" s="99">
        <v>12375</v>
      </c>
      <c r="K6" s="99">
        <v>14142</v>
      </c>
      <c r="L6" s="99">
        <v>14395</v>
      </c>
      <c r="M6" s="99">
        <v>16871</v>
      </c>
      <c r="N6" s="99">
        <v>4525</v>
      </c>
      <c r="O6" s="99">
        <v>13720</v>
      </c>
      <c r="P6" s="99">
        <v>11135</v>
      </c>
      <c r="Q6" s="99">
        <v>8665</v>
      </c>
      <c r="R6" s="99">
        <v>14335</v>
      </c>
      <c r="S6" s="99">
        <v>13520</v>
      </c>
      <c r="T6" s="99">
        <v>13817</v>
      </c>
      <c r="U6" s="99">
        <v>12108</v>
      </c>
      <c r="V6" s="99">
        <v>12215</v>
      </c>
      <c r="W6" s="99">
        <v>14527</v>
      </c>
      <c r="X6" s="99">
        <v>14472</v>
      </c>
      <c r="Y6" s="99">
        <v>6206</v>
      </c>
      <c r="Z6" s="99">
        <v>15280</v>
      </c>
      <c r="AA6" s="99">
        <v>2675</v>
      </c>
      <c r="AB6" s="99">
        <v>7382</v>
      </c>
      <c r="AC6" s="99">
        <v>16425</v>
      </c>
      <c r="AD6" s="99">
        <v>11845</v>
      </c>
      <c r="AE6" s="99">
        <v>15517</v>
      </c>
      <c r="AF6" s="99">
        <v>12250</v>
      </c>
      <c r="AG6" s="99">
        <v>12971</v>
      </c>
      <c r="AH6" s="99">
        <v>12250</v>
      </c>
      <c r="AI6" s="99">
        <v>10562</v>
      </c>
    </row>
    <row r="7" spans="1:35" x14ac:dyDescent="0.3">
      <c r="A7" s="97">
        <v>3593</v>
      </c>
      <c r="B7" s="99">
        <v>13487</v>
      </c>
      <c r="C7" s="99">
        <v>9081</v>
      </c>
      <c r="D7" s="99">
        <v>11940</v>
      </c>
      <c r="E7" s="99">
        <v>14123</v>
      </c>
      <c r="F7" s="97">
        <v>12828</v>
      </c>
      <c r="G7" s="99">
        <v>14175</v>
      </c>
      <c r="H7" s="99">
        <v>12750</v>
      </c>
      <c r="I7" s="99">
        <v>14232</v>
      </c>
      <c r="J7" s="99">
        <v>12700</v>
      </c>
      <c r="K7" s="99">
        <v>4302</v>
      </c>
      <c r="L7" s="99">
        <v>11547</v>
      </c>
      <c r="M7" s="99">
        <v>13837</v>
      </c>
      <c r="N7" s="99">
        <v>18597</v>
      </c>
      <c r="O7" s="99">
        <v>13158</v>
      </c>
      <c r="P7" s="99">
        <v>15490</v>
      </c>
      <c r="Q7" s="99">
        <v>17772</v>
      </c>
      <c r="R7" s="99">
        <v>13825</v>
      </c>
      <c r="S7" s="99">
        <v>12560</v>
      </c>
      <c r="T7" s="99">
        <v>17415</v>
      </c>
      <c r="U7" s="99">
        <v>15396</v>
      </c>
      <c r="V7" s="99">
        <v>13487</v>
      </c>
      <c r="W7" s="99">
        <v>15710</v>
      </c>
      <c r="X7" s="99">
        <v>13900</v>
      </c>
      <c r="Y7" s="99">
        <v>11221</v>
      </c>
      <c r="Z7" s="99">
        <v>13393</v>
      </c>
      <c r="AA7" s="99">
        <v>13942</v>
      </c>
      <c r="AB7" s="99">
        <v>13030</v>
      </c>
      <c r="AC7" s="99">
        <v>16947</v>
      </c>
      <c r="AD7" s="99">
        <v>13282</v>
      </c>
      <c r="AE7" s="99">
        <v>13910</v>
      </c>
      <c r="AF7" s="99">
        <v>15435</v>
      </c>
      <c r="AG7" s="99">
        <v>9490</v>
      </c>
      <c r="AH7" s="99">
        <v>10943</v>
      </c>
    </row>
    <row r="8" spans="1:35" x14ac:dyDescent="0.3">
      <c r="A8" s="97">
        <v>4327</v>
      </c>
      <c r="B8" s="99">
        <v>12740</v>
      </c>
      <c r="C8" s="99">
        <v>8229</v>
      </c>
      <c r="D8" s="99">
        <v>12168</v>
      </c>
      <c r="E8" s="99">
        <v>13357</v>
      </c>
      <c r="F8" s="97">
        <v>13433</v>
      </c>
      <c r="G8" s="99">
        <v>14700</v>
      </c>
      <c r="H8" s="99">
        <v>16154</v>
      </c>
      <c r="I8" s="99">
        <v>11847</v>
      </c>
      <c r="J8" s="99">
        <v>12128</v>
      </c>
      <c r="K8" s="99">
        <v>14890</v>
      </c>
      <c r="L8" s="99">
        <v>2615</v>
      </c>
      <c r="M8" s="99">
        <v>5702</v>
      </c>
      <c r="N8" s="99">
        <v>14959</v>
      </c>
      <c r="O8" s="99">
        <v>13199</v>
      </c>
      <c r="P8" s="99">
        <v>16344</v>
      </c>
      <c r="Q8" s="99">
        <v>13147</v>
      </c>
      <c r="R8" s="99">
        <v>12535</v>
      </c>
      <c r="S8" s="99">
        <v>14730</v>
      </c>
      <c r="T8" s="99">
        <v>12740</v>
      </c>
      <c r="U8" s="99">
        <v>12712</v>
      </c>
      <c r="V8" s="99">
        <v>16232</v>
      </c>
      <c r="W8" s="99">
        <v>13075</v>
      </c>
      <c r="X8" s="99">
        <v>13020</v>
      </c>
      <c r="Y8" s="99">
        <v>13565</v>
      </c>
      <c r="Z8" s="99">
        <v>14899</v>
      </c>
      <c r="AA8" s="99">
        <v>2756</v>
      </c>
      <c r="AB8" s="99">
        <v>15610</v>
      </c>
      <c r="AC8" s="99">
        <v>15082</v>
      </c>
      <c r="AD8" s="99">
        <v>15417</v>
      </c>
      <c r="AE8" s="99">
        <v>13910</v>
      </c>
      <c r="AF8" s="99">
        <v>12690</v>
      </c>
      <c r="AG8" s="99">
        <v>12282</v>
      </c>
      <c r="AH8" s="99">
        <v>12910</v>
      </c>
    </row>
    <row r="9" spans="1:35" x14ac:dyDescent="0.3">
      <c r="A9" s="97">
        <v>3838</v>
      </c>
      <c r="B9" s="99">
        <v>14717</v>
      </c>
      <c r="C9" s="99">
        <v>8858</v>
      </c>
      <c r="D9" s="99">
        <v>16292</v>
      </c>
      <c r="E9" s="99">
        <v>12963</v>
      </c>
      <c r="F9" s="97">
        <v>12062</v>
      </c>
      <c r="G9" s="99">
        <v>12201</v>
      </c>
      <c r="H9" s="99">
        <v>14005</v>
      </c>
      <c r="I9" s="99">
        <v>14271</v>
      </c>
      <c r="J9" s="99">
        <v>10262</v>
      </c>
      <c r="K9" s="99">
        <v>11760</v>
      </c>
      <c r="L9" s="99">
        <v>14498</v>
      </c>
      <c r="M9" s="99">
        <v>15197</v>
      </c>
      <c r="N9" s="99">
        <v>11245</v>
      </c>
      <c r="O9" s="99">
        <v>13180</v>
      </c>
      <c r="P9" s="99">
        <v>12013</v>
      </c>
      <c r="Q9" s="99">
        <v>10680</v>
      </c>
      <c r="R9" s="99">
        <v>11655</v>
      </c>
      <c r="S9" s="99">
        <v>14275</v>
      </c>
      <c r="T9" s="99">
        <v>13910</v>
      </c>
      <c r="U9" s="99">
        <v>12658</v>
      </c>
      <c r="V9" s="99">
        <v>12073</v>
      </c>
      <c r="W9" s="99">
        <v>12077</v>
      </c>
      <c r="X9" s="99">
        <v>6342</v>
      </c>
      <c r="Y9" s="99">
        <v>9938</v>
      </c>
      <c r="Z9" s="99">
        <v>4522</v>
      </c>
      <c r="AA9" s="99">
        <v>12082</v>
      </c>
      <c r="AB9" s="99">
        <v>11620</v>
      </c>
      <c r="AC9" s="99">
        <v>17195</v>
      </c>
      <c r="AD9" s="99">
        <v>19092</v>
      </c>
      <c r="AE9" s="99">
        <v>11215</v>
      </c>
      <c r="AF9" s="99">
        <v>12090</v>
      </c>
      <c r="AG9" s="99">
        <v>12230</v>
      </c>
      <c r="AH9" s="99">
        <v>10455</v>
      </c>
    </row>
    <row r="10" spans="1:35" x14ac:dyDescent="0.3">
      <c r="A10" s="97">
        <v>17248</v>
      </c>
      <c r="B10" s="99">
        <v>12470</v>
      </c>
      <c r="C10" s="99">
        <v>15627</v>
      </c>
      <c r="D10" s="99">
        <v>13730</v>
      </c>
      <c r="E10" s="99">
        <v>13565</v>
      </c>
      <c r="F10" s="97">
        <v>4382</v>
      </c>
      <c r="G10" s="99">
        <v>12672</v>
      </c>
      <c r="H10" s="99">
        <v>10262</v>
      </c>
      <c r="I10" s="99">
        <v>8366</v>
      </c>
      <c r="J10" s="99">
        <v>4217</v>
      </c>
      <c r="K10" s="99">
        <v>11930</v>
      </c>
      <c r="L10" s="99">
        <v>12956</v>
      </c>
      <c r="M10" s="99">
        <v>15090</v>
      </c>
      <c r="N10" s="99">
        <v>15550</v>
      </c>
      <c r="O10" s="99">
        <v>12655</v>
      </c>
      <c r="P10" s="99">
        <v>11539</v>
      </c>
      <c r="Q10" s="99">
        <v>14720</v>
      </c>
      <c r="R10" s="99">
        <v>13310</v>
      </c>
      <c r="S10" s="99">
        <v>8270</v>
      </c>
      <c r="T10" s="99">
        <v>17228</v>
      </c>
      <c r="U10" s="99">
        <v>9472</v>
      </c>
      <c r="V10" s="99">
        <v>11602</v>
      </c>
      <c r="W10" s="99">
        <v>15027</v>
      </c>
      <c r="X10" s="99">
        <v>15792</v>
      </c>
      <c r="Y10" s="99">
        <v>12343</v>
      </c>
      <c r="Z10" s="99">
        <v>14300</v>
      </c>
      <c r="AA10" s="99">
        <v>15852</v>
      </c>
      <c r="AB10" s="99">
        <v>16435</v>
      </c>
      <c r="AC10" s="99">
        <v>15641</v>
      </c>
      <c r="AD10" s="99">
        <v>17282</v>
      </c>
      <c r="AE10" s="99">
        <v>10780</v>
      </c>
      <c r="AF10" s="99">
        <v>13620</v>
      </c>
      <c r="AG10" s="99">
        <v>14642</v>
      </c>
      <c r="AH10" s="99">
        <v>12023</v>
      </c>
    </row>
    <row r="11" spans="1:35" x14ac:dyDescent="0.3">
      <c r="A11" s="97">
        <v>17452</v>
      </c>
      <c r="B11" s="99">
        <v>9255</v>
      </c>
      <c r="C11" s="99">
        <v>14458</v>
      </c>
      <c r="D11" s="99">
        <v>13529</v>
      </c>
      <c r="E11" s="99">
        <v>12201</v>
      </c>
      <c r="F11" s="97">
        <v>13192</v>
      </c>
      <c r="G11" s="99">
        <v>10372</v>
      </c>
      <c r="H11" s="99">
        <v>13485</v>
      </c>
      <c r="I11" s="99">
        <v>9857</v>
      </c>
      <c r="J11" s="99">
        <v>11760</v>
      </c>
      <c r="K11" s="99">
        <v>15545</v>
      </c>
      <c r="L11" s="99">
        <v>16042</v>
      </c>
      <c r="M11" s="99">
        <v>15250</v>
      </c>
      <c r="N11" s="99">
        <v>12230</v>
      </c>
      <c r="O11" s="99">
        <v>13700</v>
      </c>
      <c r="P11" s="99">
        <v>14597</v>
      </c>
      <c r="Q11" s="99">
        <v>12232</v>
      </c>
      <c r="R11" s="99">
        <v>12328</v>
      </c>
      <c r="S11" s="99">
        <v>10541</v>
      </c>
      <c r="T11" s="99">
        <v>13572</v>
      </c>
      <c r="U11" s="99">
        <v>9587</v>
      </c>
      <c r="V11" s="99">
        <v>12887</v>
      </c>
      <c r="W11" s="99">
        <v>14315</v>
      </c>
      <c r="X11" s="99">
        <v>12557</v>
      </c>
      <c r="Y11" s="99">
        <v>13235</v>
      </c>
      <c r="Z11" s="99">
        <v>14212</v>
      </c>
      <c r="AA11" s="99">
        <v>17305</v>
      </c>
      <c r="AB11" s="99">
        <v>18322</v>
      </c>
      <c r="AC11" s="99">
        <v>14100</v>
      </c>
      <c r="AD11" s="99">
        <v>9489</v>
      </c>
      <c r="AE11" s="99">
        <v>12882</v>
      </c>
      <c r="AF11" s="99">
        <v>12352</v>
      </c>
      <c r="AG11" s="99">
        <v>17772</v>
      </c>
      <c r="AH11" s="99">
        <v>16095</v>
      </c>
    </row>
    <row r="12" spans="1:35" x14ac:dyDescent="0.3">
      <c r="A12" s="97">
        <v>8927</v>
      </c>
      <c r="B12" s="99">
        <v>3838</v>
      </c>
      <c r="C12" s="99">
        <v>14074</v>
      </c>
      <c r="D12" s="99">
        <v>14565</v>
      </c>
      <c r="E12" s="99">
        <v>5954</v>
      </c>
      <c r="F12" s="97">
        <v>12206</v>
      </c>
      <c r="G12" s="99">
        <v>12470</v>
      </c>
      <c r="H12" s="99">
        <v>16387</v>
      </c>
      <c r="I12" s="99">
        <v>4932</v>
      </c>
      <c r="J12" s="99">
        <v>7766</v>
      </c>
      <c r="K12" s="99">
        <v>5880</v>
      </c>
      <c r="L12" s="99">
        <v>13180</v>
      </c>
      <c r="M12" s="99">
        <v>14958</v>
      </c>
      <c r="N12" s="99">
        <v>12783</v>
      </c>
      <c r="O12" s="99">
        <v>13116</v>
      </c>
      <c r="P12" s="99">
        <v>16192</v>
      </c>
      <c r="Q12" s="99">
        <v>17745</v>
      </c>
      <c r="R12" s="99">
        <v>12750</v>
      </c>
      <c r="S12" s="99">
        <v>12915</v>
      </c>
      <c r="T12" s="99">
        <v>12008</v>
      </c>
      <c r="U12" s="99">
        <v>16095</v>
      </c>
      <c r="V12" s="99">
        <v>12252</v>
      </c>
      <c r="W12" s="99">
        <v>12755</v>
      </c>
      <c r="X12" s="99">
        <v>13654</v>
      </c>
      <c r="Y12" s="99">
        <v>10562</v>
      </c>
      <c r="Z12" s="99">
        <v>16672</v>
      </c>
      <c r="AA12" s="99">
        <v>17827</v>
      </c>
      <c r="AB12" s="99">
        <v>15367</v>
      </c>
      <c r="AC12" s="99">
        <v>12437</v>
      </c>
      <c r="AD12" s="99">
        <v>14073</v>
      </c>
      <c r="AE12" s="99">
        <v>15797</v>
      </c>
      <c r="AF12" s="99">
        <v>12855</v>
      </c>
      <c r="AG12" s="99">
        <v>10916</v>
      </c>
      <c r="AH12" s="99">
        <v>16810</v>
      </c>
    </row>
    <row r="13" spans="1:35" x14ac:dyDescent="0.3">
      <c r="A13" s="97">
        <v>11678</v>
      </c>
      <c r="B13" s="99">
        <v>12740</v>
      </c>
      <c r="C13" s="99">
        <v>9287</v>
      </c>
      <c r="D13" s="99">
        <v>7297</v>
      </c>
      <c r="E13" s="99">
        <v>12361</v>
      </c>
      <c r="F13" s="97">
        <v>13024</v>
      </c>
      <c r="G13" s="99">
        <v>10840</v>
      </c>
      <c r="H13" s="99">
        <v>14445</v>
      </c>
      <c r="I13" s="99">
        <v>13963</v>
      </c>
      <c r="J13" s="99">
        <v>2740</v>
      </c>
      <c r="K13" s="99">
        <v>10517</v>
      </c>
      <c r="L13" s="99">
        <v>6805</v>
      </c>
      <c r="M13" s="99">
        <v>15501</v>
      </c>
      <c r="N13" s="99">
        <v>18075</v>
      </c>
      <c r="O13" s="99">
        <v>11180</v>
      </c>
      <c r="P13" s="99">
        <v>13855</v>
      </c>
      <c r="Q13" s="99">
        <v>15281</v>
      </c>
      <c r="R13" s="99">
        <v>16678</v>
      </c>
      <c r="S13" s="99">
        <v>15728</v>
      </c>
      <c r="T13" s="99">
        <v>14555</v>
      </c>
      <c r="U13" s="99">
        <v>12426</v>
      </c>
      <c r="V13" s="99">
        <v>8547</v>
      </c>
      <c r="W13" s="99">
        <v>11880</v>
      </c>
      <c r="X13" s="99">
        <v>13654</v>
      </c>
      <c r="Y13" s="99">
        <v>14063</v>
      </c>
      <c r="Z13" s="99">
        <v>13423</v>
      </c>
      <c r="AA13" s="99">
        <v>14895</v>
      </c>
      <c r="AB13" s="99">
        <v>16617</v>
      </c>
      <c r="AC13" s="99">
        <v>3911</v>
      </c>
      <c r="AD13" s="99">
        <v>15611</v>
      </c>
      <c r="AE13" s="99">
        <v>11242</v>
      </c>
      <c r="AF13" s="99">
        <v>14148</v>
      </c>
      <c r="AG13" s="99">
        <v>10780</v>
      </c>
      <c r="AH13" s="99">
        <v>15688</v>
      </c>
    </row>
    <row r="14" spans="1:35" x14ac:dyDescent="0.3">
      <c r="A14" s="97">
        <v>16140</v>
      </c>
      <c r="B14" s="99">
        <v>13542</v>
      </c>
      <c r="C14" s="99">
        <v>15362</v>
      </c>
      <c r="D14" s="99">
        <v>4685</v>
      </c>
      <c r="E14" s="99">
        <v>10951</v>
      </c>
      <c r="F14" s="97">
        <v>13868</v>
      </c>
      <c r="G14" s="99">
        <v>13650</v>
      </c>
      <c r="H14" s="99">
        <v>12965</v>
      </c>
      <c r="I14" s="99">
        <v>11906</v>
      </c>
      <c r="J14" s="99">
        <v>15270</v>
      </c>
      <c r="K14" s="99">
        <v>11522</v>
      </c>
      <c r="L14" s="99">
        <v>13180</v>
      </c>
      <c r="M14" s="99">
        <v>1815</v>
      </c>
      <c r="N14" s="99">
        <v>16766</v>
      </c>
      <c r="O14" s="99">
        <v>10752</v>
      </c>
      <c r="P14" s="99">
        <v>12535</v>
      </c>
      <c r="Q14" s="99">
        <v>11500</v>
      </c>
      <c r="R14" s="99">
        <v>13400</v>
      </c>
      <c r="S14" s="99">
        <v>13560</v>
      </c>
      <c r="T14" s="99">
        <v>13964</v>
      </c>
      <c r="U14" s="99">
        <v>12242</v>
      </c>
      <c r="V14" s="99">
        <v>14752</v>
      </c>
      <c r="W14" s="99">
        <v>14947</v>
      </c>
      <c r="X14" s="99">
        <v>13250</v>
      </c>
      <c r="Y14" s="99">
        <v>11380</v>
      </c>
      <c r="Z14" s="99">
        <v>18350</v>
      </c>
      <c r="AA14" s="99">
        <v>13833</v>
      </c>
      <c r="AB14" s="99">
        <v>3862</v>
      </c>
      <c r="AC14" s="99">
        <v>4269</v>
      </c>
      <c r="AD14" s="99">
        <v>11662</v>
      </c>
      <c r="AE14" s="99">
        <v>10620</v>
      </c>
      <c r="AF14" s="99">
        <v>16150</v>
      </c>
      <c r="AG14" s="99">
        <v>11965</v>
      </c>
      <c r="AH14" s="99">
        <v>16370</v>
      </c>
    </row>
    <row r="15" spans="1:35" x14ac:dyDescent="0.3">
      <c r="A15" s="97">
        <v>11870</v>
      </c>
      <c r="B15" s="99">
        <v>8634</v>
      </c>
      <c r="C15" s="99">
        <v>9915</v>
      </c>
      <c r="D15" s="99">
        <v>13877</v>
      </c>
      <c r="E15" s="99">
        <v>14730</v>
      </c>
      <c r="F15" s="97">
        <v>15902</v>
      </c>
      <c r="G15" s="99">
        <v>14780</v>
      </c>
      <c r="H15" s="99">
        <v>13044</v>
      </c>
      <c r="I15" s="99">
        <v>8275</v>
      </c>
      <c r="J15" s="99">
        <v>1551</v>
      </c>
      <c r="K15" s="99">
        <v>9800</v>
      </c>
      <c r="L15" s="99">
        <v>12740</v>
      </c>
      <c r="M15" s="99">
        <v>11743</v>
      </c>
      <c r="N15" s="99">
        <v>16480</v>
      </c>
      <c r="O15" s="99">
        <v>13823</v>
      </c>
      <c r="P15" s="99">
        <v>12062</v>
      </c>
      <c r="Q15" s="99">
        <v>13180</v>
      </c>
      <c r="R15" s="99">
        <v>14043</v>
      </c>
      <c r="S15" s="99">
        <v>12705</v>
      </c>
      <c r="T15" s="99">
        <v>12260</v>
      </c>
      <c r="U15" s="99">
        <v>13790</v>
      </c>
      <c r="V15" s="99">
        <v>13428</v>
      </c>
      <c r="W15" s="99">
        <v>15985</v>
      </c>
      <c r="X15" s="99">
        <v>11854</v>
      </c>
      <c r="Y15" s="99">
        <v>11841</v>
      </c>
      <c r="Z15" s="99">
        <v>12794</v>
      </c>
      <c r="AA15" s="99">
        <v>17305</v>
      </c>
      <c r="AB15" s="99">
        <v>12160</v>
      </c>
      <c r="AC15" s="99">
        <v>15907</v>
      </c>
      <c r="AD15" s="99">
        <v>13180</v>
      </c>
      <c r="AE15" s="99">
        <v>14147</v>
      </c>
      <c r="AF15" s="99">
        <v>1470</v>
      </c>
      <c r="AG15" s="99">
        <v>11233</v>
      </c>
      <c r="AH15" s="99">
        <v>14298</v>
      </c>
    </row>
    <row r="16" spans="1:35" x14ac:dyDescent="0.3">
      <c r="A16" s="97">
        <v>17057</v>
      </c>
      <c r="B16" s="99">
        <v>2518</v>
      </c>
      <c r="C16" s="99">
        <v>12210</v>
      </c>
      <c r="D16" s="99">
        <v>15380</v>
      </c>
      <c r="E16" s="99">
        <v>11488</v>
      </c>
      <c r="F16" s="97">
        <v>12740</v>
      </c>
      <c r="G16" s="99">
        <v>12250</v>
      </c>
      <c r="H16" s="99">
        <v>12415</v>
      </c>
      <c r="I16" s="99">
        <v>12773</v>
      </c>
      <c r="J16" s="99">
        <v>16988</v>
      </c>
      <c r="K16" s="99">
        <v>15780</v>
      </c>
      <c r="L16" s="99">
        <v>13075</v>
      </c>
      <c r="M16" s="99">
        <v>12667</v>
      </c>
      <c r="N16" s="99">
        <v>17530</v>
      </c>
      <c r="O16" s="99">
        <v>12717</v>
      </c>
      <c r="P16" s="99">
        <v>5427</v>
      </c>
      <c r="Q16" s="99">
        <v>17003</v>
      </c>
      <c r="R16" s="99">
        <v>14765</v>
      </c>
      <c r="S16" s="99">
        <v>16122</v>
      </c>
      <c r="T16" s="99">
        <v>12232</v>
      </c>
      <c r="U16" s="99">
        <v>12070</v>
      </c>
      <c r="V16" s="99">
        <v>11436</v>
      </c>
      <c r="W16" s="99">
        <v>13762</v>
      </c>
      <c r="X16" s="99">
        <v>15627</v>
      </c>
      <c r="Y16" s="99">
        <v>14143</v>
      </c>
      <c r="Z16" s="99">
        <v>16842</v>
      </c>
      <c r="AA16" s="99">
        <v>13167</v>
      </c>
      <c r="AB16" s="99">
        <v>17552</v>
      </c>
      <c r="AC16" s="99">
        <v>7187</v>
      </c>
      <c r="AD16" s="99">
        <v>15572</v>
      </c>
      <c r="AE16" s="99">
        <v>13345</v>
      </c>
      <c r="AF16" s="99">
        <v>12360</v>
      </c>
      <c r="AG16" s="99">
        <v>10535</v>
      </c>
      <c r="AH16" s="99">
        <v>13767</v>
      </c>
    </row>
    <row r="17" spans="1:38" x14ac:dyDescent="0.3">
      <c r="A17" s="97">
        <v>3838</v>
      </c>
      <c r="B17" s="99">
        <v>13620</v>
      </c>
      <c r="C17" s="99">
        <v>15600</v>
      </c>
      <c r="D17" s="99">
        <v>11165</v>
      </c>
      <c r="F17" s="97">
        <v>14802</v>
      </c>
      <c r="G17" s="99">
        <v>12693</v>
      </c>
      <c r="H17" s="99">
        <v>8306</v>
      </c>
      <c r="I17" s="99">
        <v>10780</v>
      </c>
      <c r="J17" s="99">
        <v>13482</v>
      </c>
      <c r="K17" s="99">
        <v>3023</v>
      </c>
      <c r="L17" s="99">
        <v>11026</v>
      </c>
      <c r="M17" s="99">
        <v>15252</v>
      </c>
      <c r="N17" s="99">
        <v>7955</v>
      </c>
      <c r="O17" s="99">
        <v>10379</v>
      </c>
      <c r="P17" s="99">
        <v>12525</v>
      </c>
      <c r="Q17" s="99">
        <v>17090</v>
      </c>
      <c r="R17" s="99">
        <v>12095</v>
      </c>
      <c r="S17" s="99">
        <v>14876</v>
      </c>
      <c r="T17" s="99">
        <v>14835</v>
      </c>
      <c r="U17" s="99">
        <v>490</v>
      </c>
      <c r="V17" s="99">
        <v>13850</v>
      </c>
      <c r="W17" s="99">
        <v>14665</v>
      </c>
      <c r="X17" s="99">
        <v>10840</v>
      </c>
      <c r="Y17" s="99">
        <v>13250</v>
      </c>
      <c r="Z17" s="99">
        <v>14376</v>
      </c>
      <c r="AA17" s="99">
        <v>14928</v>
      </c>
      <c r="AB17" s="99">
        <v>18075</v>
      </c>
      <c r="AC17" s="99">
        <v>7617</v>
      </c>
      <c r="AD17" s="99">
        <v>12712</v>
      </c>
      <c r="AE17" s="99">
        <v>12690</v>
      </c>
      <c r="AF17" s="99">
        <v>14340</v>
      </c>
      <c r="AG17" s="99">
        <v>10290</v>
      </c>
    </row>
    <row r="18" spans="1:38" x14ac:dyDescent="0.3">
      <c r="A18" s="97">
        <v>13620</v>
      </c>
      <c r="B18" s="99">
        <v>13180</v>
      </c>
      <c r="C18" s="99">
        <v>14340</v>
      </c>
      <c r="D18" s="99">
        <v>14830</v>
      </c>
      <c r="F18" s="97">
        <v>12910</v>
      </c>
      <c r="G18" s="99">
        <v>14042</v>
      </c>
      <c r="H18" s="99">
        <v>10190</v>
      </c>
      <c r="I18" s="99">
        <v>13373</v>
      </c>
      <c r="J18" s="99">
        <v>13930</v>
      </c>
      <c r="K18" s="99">
        <v>14175</v>
      </c>
      <c r="L18" s="99">
        <v>12712</v>
      </c>
      <c r="M18" s="99">
        <v>16431</v>
      </c>
      <c r="N18" s="99">
        <v>12911</v>
      </c>
      <c r="O18" s="99">
        <v>13510</v>
      </c>
      <c r="P18" s="99">
        <v>14033</v>
      </c>
      <c r="Q18" s="99">
        <v>12271</v>
      </c>
      <c r="R18" s="99">
        <v>12882</v>
      </c>
      <c r="S18" s="99">
        <v>12210</v>
      </c>
      <c r="T18" s="99">
        <v>14500</v>
      </c>
      <c r="U18" s="99">
        <v>5835</v>
      </c>
      <c r="V18" s="99">
        <v>12297</v>
      </c>
      <c r="W18" s="99">
        <v>13077</v>
      </c>
      <c r="X18" s="99">
        <v>10352</v>
      </c>
      <c r="Y18" s="99">
        <v>10780</v>
      </c>
      <c r="Z18" s="99">
        <v>13068</v>
      </c>
      <c r="AA18" s="99">
        <v>16320</v>
      </c>
      <c r="AB18" s="99">
        <v>15137</v>
      </c>
      <c r="AC18" s="99">
        <v>17840</v>
      </c>
      <c r="AD18" s="99">
        <v>11790</v>
      </c>
      <c r="AE18" s="99">
        <v>11230</v>
      </c>
      <c r="AF18" s="99">
        <v>13500</v>
      </c>
      <c r="AG18" s="99">
        <v>13880</v>
      </c>
    </row>
    <row r="19" spans="1:38" x14ac:dyDescent="0.3">
      <c r="B19" s="99">
        <v>3813</v>
      </c>
      <c r="C19" s="99">
        <v>15133</v>
      </c>
      <c r="D19" s="99">
        <v>13475</v>
      </c>
      <c r="F19" s="97">
        <v>10894</v>
      </c>
      <c r="G19" s="99">
        <v>12927</v>
      </c>
      <c r="H19" s="99">
        <v>14390</v>
      </c>
      <c r="I19" s="99">
        <v>15962</v>
      </c>
      <c r="J19" s="99">
        <v>15417</v>
      </c>
      <c r="K19" s="99">
        <v>10240</v>
      </c>
      <c r="L19" s="99">
        <v>10575</v>
      </c>
      <c r="M19" s="99">
        <v>4883</v>
      </c>
      <c r="N19" s="99">
        <v>10272</v>
      </c>
      <c r="O19" s="99">
        <v>12670</v>
      </c>
      <c r="P19" s="99">
        <v>12502</v>
      </c>
      <c r="Q19" s="99">
        <v>12420</v>
      </c>
      <c r="R19" s="99">
        <v>13720</v>
      </c>
      <c r="S19" s="99">
        <v>14032</v>
      </c>
      <c r="T19" s="99">
        <v>12860</v>
      </c>
      <c r="U19" s="99">
        <v>12850</v>
      </c>
      <c r="V19" s="99">
        <v>15560</v>
      </c>
      <c r="W19" s="99">
        <v>12782</v>
      </c>
      <c r="X19" s="99">
        <v>13625</v>
      </c>
      <c r="Y19" s="99">
        <v>11522</v>
      </c>
      <c r="Z19" s="99">
        <v>17277</v>
      </c>
      <c r="AA19" s="99">
        <v>14817</v>
      </c>
      <c r="AB19" s="99">
        <v>3862</v>
      </c>
      <c r="AC19" s="99">
        <v>16397</v>
      </c>
      <c r="AE19" s="99">
        <v>2450</v>
      </c>
      <c r="AF19" s="99">
        <v>9796</v>
      </c>
      <c r="AG19" s="99">
        <v>13531</v>
      </c>
    </row>
    <row r="20" spans="1:38" x14ac:dyDescent="0.3">
      <c r="B20" s="99">
        <v>4596</v>
      </c>
      <c r="C20" s="99">
        <v>16123</v>
      </c>
      <c r="D20" s="99">
        <v>10266</v>
      </c>
      <c r="G20" s="99">
        <v>12209</v>
      </c>
      <c r="H20" s="99">
        <v>14995</v>
      </c>
      <c r="I20" s="99">
        <v>12740</v>
      </c>
      <c r="J20" s="99">
        <v>12749</v>
      </c>
      <c r="K20" s="99">
        <v>14280</v>
      </c>
      <c r="L20" s="99">
        <v>15890</v>
      </c>
      <c r="M20" s="99">
        <v>13282</v>
      </c>
      <c r="N20" s="99">
        <v>16150</v>
      </c>
      <c r="O20" s="99">
        <v>12348</v>
      </c>
      <c r="P20" s="99">
        <v>16652</v>
      </c>
      <c r="Q20" s="99">
        <v>10861</v>
      </c>
      <c r="T20" s="99">
        <v>14170</v>
      </c>
      <c r="U20" s="99">
        <v>13240</v>
      </c>
      <c r="V20" s="99">
        <v>13290</v>
      </c>
      <c r="W20" s="99">
        <v>13827</v>
      </c>
      <c r="X20" s="99">
        <v>10620</v>
      </c>
      <c r="Y20" s="99">
        <v>9119</v>
      </c>
      <c r="Z20" s="99">
        <v>12908</v>
      </c>
      <c r="AA20" s="99">
        <v>17415</v>
      </c>
      <c r="AB20" s="99">
        <v>1117</v>
      </c>
      <c r="AC20" s="99">
        <v>18460</v>
      </c>
      <c r="AE20" s="99">
        <v>14995</v>
      </c>
      <c r="AF20" s="99">
        <v>11623</v>
      </c>
    </row>
    <row r="21" spans="1:38" x14ac:dyDescent="0.3">
      <c r="B21" s="99">
        <v>15545</v>
      </c>
      <c r="D21" s="99">
        <v>8258</v>
      </c>
      <c r="G21" s="99">
        <v>12150</v>
      </c>
      <c r="I21" s="99">
        <v>14335</v>
      </c>
      <c r="J21" s="99">
        <v>1310</v>
      </c>
      <c r="K21" s="99">
        <v>9892</v>
      </c>
      <c r="L21" s="99">
        <v>11495</v>
      </c>
      <c r="M21" s="99">
        <v>17497</v>
      </c>
      <c r="P21" s="99">
        <v>12460</v>
      </c>
      <c r="Q21" s="99">
        <v>11215</v>
      </c>
      <c r="U21" s="99">
        <v>13709</v>
      </c>
      <c r="V21" s="99">
        <v>12609</v>
      </c>
      <c r="W21" s="99">
        <v>8587</v>
      </c>
      <c r="X21" s="99">
        <v>14184</v>
      </c>
      <c r="Y21" s="99">
        <v>10893</v>
      </c>
      <c r="Z21" s="99">
        <v>12036</v>
      </c>
      <c r="AA21" s="99">
        <v>15160</v>
      </c>
      <c r="AB21" s="99">
        <v>4745</v>
      </c>
      <c r="AE21" s="99">
        <v>12250</v>
      </c>
      <c r="AF21" s="99">
        <v>9255</v>
      </c>
    </row>
    <row r="22" spans="1:38" x14ac:dyDescent="0.3">
      <c r="D22" s="99">
        <v>14402</v>
      </c>
      <c r="G22" s="99">
        <v>11440</v>
      </c>
      <c r="I22" s="99">
        <v>13810</v>
      </c>
      <c r="J22" s="99">
        <v>13002</v>
      </c>
      <c r="K22" s="99">
        <v>13405</v>
      </c>
      <c r="L22" s="99">
        <v>13982</v>
      </c>
      <c r="Q22" s="99">
        <v>14110</v>
      </c>
      <c r="V22" s="99">
        <v>10109</v>
      </c>
      <c r="W22" s="99">
        <v>13625</v>
      </c>
      <c r="Y22" s="99">
        <v>10916</v>
      </c>
      <c r="AA22" s="99">
        <v>11651</v>
      </c>
      <c r="AE22" s="99">
        <v>13930</v>
      </c>
      <c r="AF22" s="99">
        <v>3430</v>
      </c>
    </row>
    <row r="23" spans="1:38" x14ac:dyDescent="0.3">
      <c r="I23" s="99">
        <v>10290</v>
      </c>
      <c r="J23" s="99">
        <v>11407</v>
      </c>
      <c r="K23" s="99">
        <v>16552</v>
      </c>
      <c r="L23" s="99">
        <v>12152</v>
      </c>
      <c r="V23" s="99">
        <v>12201</v>
      </c>
      <c r="W23" s="99">
        <v>12870</v>
      </c>
      <c r="Y23" s="99">
        <v>8957</v>
      </c>
      <c r="AA23" s="99">
        <v>14929</v>
      </c>
      <c r="AF23" s="99">
        <v>14045</v>
      </c>
    </row>
    <row r="24" spans="1:38" x14ac:dyDescent="0.3">
      <c r="J24" s="99">
        <v>12564</v>
      </c>
      <c r="K24" s="99">
        <v>4165</v>
      </c>
      <c r="L24" s="99">
        <v>15765</v>
      </c>
      <c r="W24" s="99">
        <v>12182</v>
      </c>
      <c r="Y24" s="99">
        <v>16122</v>
      </c>
      <c r="AA24" s="99">
        <v>15060</v>
      </c>
    </row>
    <row r="25" spans="1:38" x14ac:dyDescent="0.3">
      <c r="K25" s="99">
        <v>13125</v>
      </c>
      <c r="Y25" s="99">
        <v>10404</v>
      </c>
    </row>
    <row r="27" spans="1:38" ht="19.5" thickBot="1" x14ac:dyDescent="0.35">
      <c r="A27" s="99">
        <f>SUM(A1:A26)</f>
        <v>152922</v>
      </c>
      <c r="B27" s="99">
        <f>SUM(B1:B26)</f>
        <v>221393</v>
      </c>
      <c r="C27" s="99">
        <f t="shared" ref="C27:AI27" si="0">SUM(C1:C26)</f>
        <v>225741</v>
      </c>
      <c r="D27" s="99">
        <f t="shared" si="0"/>
        <v>284475</v>
      </c>
      <c r="E27" s="99">
        <f t="shared" si="0"/>
        <v>207684</v>
      </c>
      <c r="F27" s="99">
        <f t="shared" si="0"/>
        <v>234542</v>
      </c>
      <c r="G27" s="99">
        <f t="shared" si="0"/>
        <v>285087</v>
      </c>
      <c r="H27" s="99">
        <f t="shared" si="0"/>
        <v>260595</v>
      </c>
      <c r="I27" s="99">
        <f t="shared" si="0"/>
        <v>254918</v>
      </c>
      <c r="J27" s="99">
        <f t="shared" si="0"/>
        <v>239300</v>
      </c>
      <c r="K27" s="99">
        <f t="shared" si="0"/>
        <v>281515</v>
      </c>
      <c r="L27" s="99">
        <f t="shared" si="0"/>
        <v>293059</v>
      </c>
      <c r="M27" s="99">
        <f t="shared" si="0"/>
        <v>283584</v>
      </c>
      <c r="N27" s="99">
        <f t="shared" si="0"/>
        <v>286514</v>
      </c>
      <c r="O27" s="99">
        <f t="shared" si="0"/>
        <v>257153</v>
      </c>
      <c r="P27" s="99">
        <f t="shared" si="0"/>
        <v>265324</v>
      </c>
      <c r="Q27" s="99">
        <f t="shared" si="0"/>
        <v>291600</v>
      </c>
      <c r="R27" s="99">
        <f t="shared" si="0"/>
        <v>252542</v>
      </c>
      <c r="S27" s="99">
        <f t="shared" si="0"/>
        <v>244741</v>
      </c>
      <c r="T27" s="99">
        <f t="shared" si="0"/>
        <v>267736</v>
      </c>
      <c r="U27" s="99">
        <f t="shared" si="0"/>
        <v>249038</v>
      </c>
      <c r="V27" s="99">
        <f t="shared" si="0"/>
        <v>294395</v>
      </c>
      <c r="W27" s="99">
        <f t="shared" si="0"/>
        <v>322570</v>
      </c>
      <c r="X27" s="99">
        <f t="shared" si="0"/>
        <v>273349</v>
      </c>
      <c r="Y27" s="99">
        <f t="shared" si="0"/>
        <v>287260</v>
      </c>
      <c r="Z27" s="99">
        <f t="shared" si="0"/>
        <v>280454</v>
      </c>
      <c r="AA27" s="99">
        <f t="shared" si="0"/>
        <v>336413</v>
      </c>
      <c r="AB27" s="99">
        <f t="shared" si="0"/>
        <v>260624</v>
      </c>
      <c r="AC27" s="99">
        <f t="shared" si="0"/>
        <v>264245</v>
      </c>
      <c r="AD27" s="99">
        <f t="shared" si="0"/>
        <v>258423</v>
      </c>
      <c r="AE27" s="99">
        <f t="shared" si="0"/>
        <v>278580</v>
      </c>
      <c r="AF27" s="99">
        <f t="shared" si="0"/>
        <v>259996</v>
      </c>
      <c r="AG27" s="99">
        <f t="shared" si="0"/>
        <v>234578</v>
      </c>
      <c r="AH27" s="99">
        <f t="shared" si="0"/>
        <v>216542</v>
      </c>
      <c r="AI27" s="99">
        <f t="shared" si="0"/>
        <v>88862</v>
      </c>
      <c r="AJ27" s="103">
        <f>SUM(A27:AI27)</f>
        <v>8995754</v>
      </c>
      <c r="AK27" s="99">
        <v>9009156</v>
      </c>
      <c r="AL27" s="102">
        <f>AK27*115%</f>
        <v>10360529.399999999</v>
      </c>
    </row>
    <row r="28" spans="1:38" ht="19.5" thickTop="1" x14ac:dyDescent="0.3">
      <c r="AJ28" s="99" t="s">
        <v>105</v>
      </c>
      <c r="AK28" s="101">
        <f>+AJ27-AK27</f>
        <v>-13402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Gita topic</vt:lpstr>
      <vt:lpstr>বিল চেক</vt:lpstr>
      <vt:lpstr>CFT</vt:lpstr>
      <vt:lpstr>SF</vt:lpstr>
      <vt:lpstr>SF (3)</vt:lpstr>
      <vt:lpstr>SF (2)</vt:lpstr>
      <vt:lpstr>📋VAT</vt:lpstr>
      <vt:lpstr>Inch to SFT</vt:lpstr>
      <vt:lpstr>CFT3</vt:lpstr>
      <vt:lpstr>bank</vt:lpstr>
      <vt:lpstr>Meter</vt:lpstr>
      <vt:lpstr>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Sajib Sarker 03395</dc:creator>
  <cp:lastModifiedBy>Sajib Sarker</cp:lastModifiedBy>
  <cp:lastPrinted>2026-07-28T04:24:06Z</cp:lastPrinted>
  <dcterms:created xsi:type="dcterms:W3CDTF">2015-06-05T18:17:20Z</dcterms:created>
  <dcterms:modified xsi:type="dcterms:W3CDTF">2026-10-15T06:46:03Z</dcterms:modified>
</cp:coreProperties>
</file>